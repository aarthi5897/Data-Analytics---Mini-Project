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620" firstSheet="1"/>
  </bookViews>
  <sheets>
    <sheet name="Shipment Data" sheetId="3" r:id="rId1"/>
    <sheet name="Pivot Table Analysis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<sst xmlns="http://schemas.openxmlformats.org/spreadsheetml/2006/main" count="3359" uniqueCount="586">
  <si>
    <t>Shipment ID</t>
  </si>
  <si>
    <t>Order Date</t>
  </si>
  <si>
    <t>Supplier Name</t>
  </si>
  <si>
    <t>Product Category</t>
  </si>
  <si>
    <t>Quantity</t>
  </si>
  <si>
    <t>Total Cost</t>
  </si>
  <si>
    <t>Ship Date</t>
  </si>
  <si>
    <t>Delivery Date</t>
  </si>
  <si>
    <t>Shipping Carrier</t>
  </si>
  <si>
    <t>Shipping Mode</t>
  </si>
  <si>
    <t>On-Time Delivery</t>
  </si>
  <si>
    <t>Delivery Days</t>
  </si>
  <si>
    <t>Cost Per Unit</t>
  </si>
  <si>
    <t>Shipping Preparation Days</t>
  </si>
  <si>
    <t>Delivery Status</t>
  </si>
  <si>
    <t>Quantity Category</t>
  </si>
  <si>
    <t>SHP-40001</t>
  </si>
  <si>
    <t>Frontier Chemical Supply</t>
  </si>
  <si>
    <t>Chemicals</t>
  </si>
  <si>
    <t>UPS</t>
  </si>
  <si>
    <t>Sea</t>
  </si>
  <si>
    <t>No</t>
  </si>
  <si>
    <t>Average Quantity</t>
  </si>
  <si>
    <t>SHP-40002</t>
  </si>
  <si>
    <t>Midwest Industrial</t>
  </si>
  <si>
    <t>Packaging</t>
  </si>
  <si>
    <t>Road</t>
  </si>
  <si>
    <t>Yes</t>
  </si>
  <si>
    <t>SHP-40003</t>
  </si>
  <si>
    <t>Summit Electronics</t>
  </si>
  <si>
    <t>FedEx</t>
  </si>
  <si>
    <t xml:space="preserve">Number of </t>
  </si>
  <si>
    <t>SHP-40004</t>
  </si>
  <si>
    <t>Continental Distributors</t>
  </si>
  <si>
    <t>Machinery</t>
  </si>
  <si>
    <t>Local</t>
  </si>
  <si>
    <t>Shipments</t>
  </si>
  <si>
    <t>SHP-40005</t>
  </si>
  <si>
    <t>Reliable Metals Corp</t>
  </si>
  <si>
    <t>Automotive Parts</t>
  </si>
  <si>
    <t>SHP-40006</t>
  </si>
  <si>
    <t>Electronics</t>
  </si>
  <si>
    <t>Highest Quantity</t>
  </si>
  <si>
    <t>SHP-40007</t>
  </si>
  <si>
    <t>Rail</t>
  </si>
  <si>
    <t>SHP-40008</t>
  </si>
  <si>
    <t>Textiles</t>
  </si>
  <si>
    <t>Lowest Quantity</t>
  </si>
  <si>
    <t>SHP-40009</t>
  </si>
  <si>
    <t>DHL</t>
  </si>
  <si>
    <t>SHP-40010</t>
  </si>
  <si>
    <t>Raw Materials</t>
  </si>
  <si>
    <t>Total Cost For</t>
  </si>
  <si>
    <t>SHP-40011</t>
  </si>
  <si>
    <t>Atlas Manufacturing</t>
  </si>
  <si>
    <t>SHP-40012</t>
  </si>
  <si>
    <t>Global Parts Inc</t>
  </si>
  <si>
    <t>SHP-40013</t>
  </si>
  <si>
    <t>Harbor Trading Co</t>
  </si>
  <si>
    <t>Air</t>
  </si>
  <si>
    <t>Average Cost</t>
  </si>
  <si>
    <t>SHP-40014</t>
  </si>
  <si>
    <t>of 'Electronics'</t>
  </si>
  <si>
    <t>SHP-40015</t>
  </si>
  <si>
    <t>SHP-40016</t>
  </si>
  <si>
    <t>Southern Logistics</t>
  </si>
  <si>
    <t>Count of Delayed</t>
  </si>
  <si>
    <t>SHP-40017</t>
  </si>
  <si>
    <t>Premier Raw Materials</t>
  </si>
  <si>
    <t>SHP-40018</t>
  </si>
  <si>
    <t>SHP-40019</t>
  </si>
  <si>
    <t>Count of On-Time</t>
  </si>
  <si>
    <t>SHP-40020</t>
  </si>
  <si>
    <t>SHP-40021</t>
  </si>
  <si>
    <t>SHP-40022</t>
  </si>
  <si>
    <t>SHP-40023</t>
  </si>
  <si>
    <t>Valley Fabrication</t>
  </si>
  <si>
    <t>Medical Supplies</t>
  </si>
  <si>
    <t>SHP-40024</t>
  </si>
  <si>
    <t>Pacific Supply Co</t>
  </si>
  <si>
    <t>SHP-40025</t>
  </si>
  <si>
    <t>Office Supplies</t>
  </si>
  <si>
    <t>SHP-40026</t>
  </si>
  <si>
    <t>SHP-40027</t>
  </si>
  <si>
    <t>SHP-40028</t>
  </si>
  <si>
    <t>SHP-40029</t>
  </si>
  <si>
    <t>SHP-40030</t>
  </si>
  <si>
    <t>Pinnacle Materials</t>
  </si>
  <si>
    <t>SHP-40031</t>
  </si>
  <si>
    <t>SHP-40032</t>
  </si>
  <si>
    <t>SHP-40033</t>
  </si>
  <si>
    <t>SHP-40034</t>
  </si>
  <si>
    <t>Nordic Supply Group</t>
  </si>
  <si>
    <t>SHP-40035</t>
  </si>
  <si>
    <t>Eastern Components</t>
  </si>
  <si>
    <t>SHP-40036</t>
  </si>
  <si>
    <t>SHP-40037</t>
  </si>
  <si>
    <t>SHP-40038</t>
  </si>
  <si>
    <t>SHP-40039</t>
  </si>
  <si>
    <t>SHP-40040</t>
  </si>
  <si>
    <t>Food Ingredients</t>
  </si>
  <si>
    <t>SHP-40041</t>
  </si>
  <si>
    <t>SHP-40042</t>
  </si>
  <si>
    <t>SHP-40043</t>
  </si>
  <si>
    <t>SHP-40044</t>
  </si>
  <si>
    <t>SHP-40045</t>
  </si>
  <si>
    <t>SHP-40046</t>
  </si>
  <si>
    <t>SHP-40047</t>
  </si>
  <si>
    <t>SHP-40048</t>
  </si>
  <si>
    <t>SHP-40049</t>
  </si>
  <si>
    <t>SHP-40050</t>
  </si>
  <si>
    <t>SHP-40051</t>
  </si>
  <si>
    <t>SHP-40052</t>
  </si>
  <si>
    <t>SHP-40053</t>
  </si>
  <si>
    <t>SHP-40054</t>
  </si>
  <si>
    <t>SHP-40055</t>
  </si>
  <si>
    <t>SHP-40056</t>
  </si>
  <si>
    <t>SHP-40057</t>
  </si>
  <si>
    <t>SHP-40058</t>
  </si>
  <si>
    <t>SHP-40059</t>
  </si>
  <si>
    <t>SHP-40060</t>
  </si>
  <si>
    <t>SHP-40061</t>
  </si>
  <si>
    <t>SHP-40062</t>
  </si>
  <si>
    <t>SHP-40063</t>
  </si>
  <si>
    <t>SHP-40064</t>
  </si>
  <si>
    <t>SHP-40065</t>
  </si>
  <si>
    <t>SHP-40066</t>
  </si>
  <si>
    <t>SHP-40067</t>
  </si>
  <si>
    <t>SHP-40068</t>
  </si>
  <si>
    <t>SHP-40069</t>
  </si>
  <si>
    <t>SHP-40070</t>
  </si>
  <si>
    <t>SHP-40071</t>
  </si>
  <si>
    <t>SHP-40072</t>
  </si>
  <si>
    <t>SHP-40073</t>
  </si>
  <si>
    <t>SHP-40074</t>
  </si>
  <si>
    <t>SHP-40075</t>
  </si>
  <si>
    <t>SHP-40076</t>
  </si>
  <si>
    <t>SHP-40077</t>
  </si>
  <si>
    <t>SHP-40078</t>
  </si>
  <si>
    <t>SHP-40079</t>
  </si>
  <si>
    <t>SHP-40080</t>
  </si>
  <si>
    <t>SHP-40081</t>
  </si>
  <si>
    <t>SHP-40082</t>
  </si>
  <si>
    <t>SHP-40083</t>
  </si>
  <si>
    <t>SHP-40084</t>
  </si>
  <si>
    <t>SHP-40085</t>
  </si>
  <si>
    <t>SHP-40086</t>
  </si>
  <si>
    <t>SHP-40087</t>
  </si>
  <si>
    <t>SHP-40088</t>
  </si>
  <si>
    <t>SHP-40089</t>
  </si>
  <si>
    <t>SHP-40090</t>
  </si>
  <si>
    <t>SHP-40091</t>
  </si>
  <si>
    <t>SHP-40092</t>
  </si>
  <si>
    <t>SHP-40093</t>
  </si>
  <si>
    <t>SHP-40094</t>
  </si>
  <si>
    <t>SHP-40095</t>
  </si>
  <si>
    <t>SHP-40096</t>
  </si>
  <si>
    <t>SHP-40097</t>
  </si>
  <si>
    <t>SHP-40098</t>
  </si>
  <si>
    <t>SHP-40099</t>
  </si>
  <si>
    <t>SHP-40100</t>
  </si>
  <si>
    <t>SHP-40101</t>
  </si>
  <si>
    <t>SHP-40102</t>
  </si>
  <si>
    <t>SHP-40103</t>
  </si>
  <si>
    <t>SHP-40104</t>
  </si>
  <si>
    <t>SHP-40105</t>
  </si>
  <si>
    <t>SHP-40106</t>
  </si>
  <si>
    <t>SHP-40107</t>
  </si>
  <si>
    <t>SHP-40108</t>
  </si>
  <si>
    <t>SHP-40109</t>
  </si>
  <si>
    <t>SHP-40110</t>
  </si>
  <si>
    <t>SHP-40111</t>
  </si>
  <si>
    <t>SHP-40112</t>
  </si>
  <si>
    <t>SHP-40113</t>
  </si>
  <si>
    <t>SHP-40114</t>
  </si>
  <si>
    <t>SHP-40115</t>
  </si>
  <si>
    <t>SHP-40116</t>
  </si>
  <si>
    <t>SHP-40117</t>
  </si>
  <si>
    <t>SHP-40118</t>
  </si>
  <si>
    <t>SHP-40119</t>
  </si>
  <si>
    <t>SHP-40120</t>
  </si>
  <si>
    <t>SHP-40121</t>
  </si>
  <si>
    <t>SHP-40122</t>
  </si>
  <si>
    <t>SHP-40123</t>
  </si>
  <si>
    <t>SHP-40124</t>
  </si>
  <si>
    <t>SHP-40125</t>
  </si>
  <si>
    <t>SHP-40126</t>
  </si>
  <si>
    <t>SHP-40127</t>
  </si>
  <si>
    <t>SHP-40128</t>
  </si>
  <si>
    <t>SHP-40129</t>
  </si>
  <si>
    <t>SHP-40130</t>
  </si>
  <si>
    <t>SHP-40131</t>
  </si>
  <si>
    <t>SHP-40132</t>
  </si>
  <si>
    <t>SHP-40133</t>
  </si>
  <si>
    <t>SHP-40134</t>
  </si>
  <si>
    <t>SHP-40135</t>
  </si>
  <si>
    <t>SHP-40136</t>
  </si>
  <si>
    <t>SHP-40137</t>
  </si>
  <si>
    <t>SHP-40138</t>
  </si>
  <si>
    <t>SHP-40139</t>
  </si>
  <si>
    <t>SHP-40140</t>
  </si>
  <si>
    <t>SHP-40141</t>
  </si>
  <si>
    <t>SHP-40142</t>
  </si>
  <si>
    <t>SHP-40143</t>
  </si>
  <si>
    <t>SHP-40144</t>
  </si>
  <si>
    <t>SHP-40145</t>
  </si>
  <si>
    <t>SHP-40146</t>
  </si>
  <si>
    <t>SHP-40147</t>
  </si>
  <si>
    <t>SHP-40148</t>
  </si>
  <si>
    <t>SHP-40149</t>
  </si>
  <si>
    <t>SHP-40150</t>
  </si>
  <si>
    <t>SHP-40151</t>
  </si>
  <si>
    <t>SHP-40152</t>
  </si>
  <si>
    <t>SHP-40153</t>
  </si>
  <si>
    <t>SHP-40154</t>
  </si>
  <si>
    <t>SHP-40155</t>
  </si>
  <si>
    <t>SHP-40156</t>
  </si>
  <si>
    <t>SHP-40157</t>
  </si>
  <si>
    <t>SHP-40158</t>
  </si>
  <si>
    <t>SHP-40159</t>
  </si>
  <si>
    <t>SHP-40160</t>
  </si>
  <si>
    <t>SHP-40161</t>
  </si>
  <si>
    <t>SHP-40162</t>
  </si>
  <si>
    <t>SHP-40163</t>
  </si>
  <si>
    <t>SHP-40164</t>
  </si>
  <si>
    <t>SHP-40165</t>
  </si>
  <si>
    <t>SHP-40166</t>
  </si>
  <si>
    <t>SHP-40167</t>
  </si>
  <si>
    <t>SHP-40168</t>
  </si>
  <si>
    <t>SHP-40169</t>
  </si>
  <si>
    <t>SHP-40170</t>
  </si>
  <si>
    <t>SHP-40171</t>
  </si>
  <si>
    <t>SHP-40172</t>
  </si>
  <si>
    <t>SHP-40173</t>
  </si>
  <si>
    <t>SHP-40174</t>
  </si>
  <si>
    <t>SHP-40175</t>
  </si>
  <si>
    <t>SHP-40176</t>
  </si>
  <si>
    <t>SHP-40177</t>
  </si>
  <si>
    <t>SHP-40178</t>
  </si>
  <si>
    <t>SHP-40179</t>
  </si>
  <si>
    <t>SHP-40180</t>
  </si>
  <si>
    <t>SHP-40181</t>
  </si>
  <si>
    <t>SHP-40182</t>
  </si>
  <si>
    <t>SHP-40183</t>
  </si>
  <si>
    <t>SHP-40184</t>
  </si>
  <si>
    <t>SHP-40185</t>
  </si>
  <si>
    <t>SHP-40186</t>
  </si>
  <si>
    <t>SHP-40187</t>
  </si>
  <si>
    <t>SHP-40188</t>
  </si>
  <si>
    <t>SHP-40189</t>
  </si>
  <si>
    <t>SHP-40190</t>
  </si>
  <si>
    <t>SHP-40191</t>
  </si>
  <si>
    <t>SHP-40192</t>
  </si>
  <si>
    <t>SHP-40193</t>
  </si>
  <si>
    <t>SHP-40194</t>
  </si>
  <si>
    <t>SHP-40195</t>
  </si>
  <si>
    <t>SHP-40196</t>
  </si>
  <si>
    <t>SHP-40197</t>
  </si>
  <si>
    <t>SHP-40198</t>
  </si>
  <si>
    <t>SHP-40199</t>
  </si>
  <si>
    <t>SHP-40200</t>
  </si>
  <si>
    <t>SHP-40201</t>
  </si>
  <si>
    <t>SHP-40202</t>
  </si>
  <si>
    <t>SHP-40203</t>
  </si>
  <si>
    <t>SHP-40204</t>
  </si>
  <si>
    <t>SHP-40205</t>
  </si>
  <si>
    <t>SHP-40206</t>
  </si>
  <si>
    <t>SHP-40207</t>
  </si>
  <si>
    <t>SHP-40208</t>
  </si>
  <si>
    <t>SHP-40209</t>
  </si>
  <si>
    <t>SHP-40210</t>
  </si>
  <si>
    <t>SHP-40211</t>
  </si>
  <si>
    <t>SHP-40212</t>
  </si>
  <si>
    <t>SHP-40213</t>
  </si>
  <si>
    <t>SHP-40214</t>
  </si>
  <si>
    <t>SHP-40215</t>
  </si>
  <si>
    <t>SHP-40216</t>
  </si>
  <si>
    <t>SHP-40217</t>
  </si>
  <si>
    <t>SHP-40218</t>
  </si>
  <si>
    <t>SHP-40219</t>
  </si>
  <si>
    <t>SHP-40220</t>
  </si>
  <si>
    <t>SHP-40221</t>
  </si>
  <si>
    <t>SHP-40222</t>
  </si>
  <si>
    <t>SHP-40223</t>
  </si>
  <si>
    <t>SHP-40224</t>
  </si>
  <si>
    <t>SHP-40225</t>
  </si>
  <si>
    <t>SHP-40226</t>
  </si>
  <si>
    <t>SHP-40227</t>
  </si>
  <si>
    <t>SHP-40228</t>
  </si>
  <si>
    <t>SHP-40229</t>
  </si>
  <si>
    <t>SHP-40230</t>
  </si>
  <si>
    <t>SHP-40231</t>
  </si>
  <si>
    <t>SHP-40232</t>
  </si>
  <si>
    <t>SHP-40233</t>
  </si>
  <si>
    <t>SHP-40234</t>
  </si>
  <si>
    <t>SHP-40235</t>
  </si>
  <si>
    <t>SHP-40236</t>
  </si>
  <si>
    <t>SHP-40237</t>
  </si>
  <si>
    <t>SHP-40238</t>
  </si>
  <si>
    <t>SHP-40239</t>
  </si>
  <si>
    <t>SHP-40240</t>
  </si>
  <si>
    <t>SHP-40241</t>
  </si>
  <si>
    <t>SHP-40242</t>
  </si>
  <si>
    <t>SHP-40243</t>
  </si>
  <si>
    <t>SHP-40244</t>
  </si>
  <si>
    <t>SHP-40245</t>
  </si>
  <si>
    <t>SHP-40246</t>
  </si>
  <si>
    <t>SHP-40247</t>
  </si>
  <si>
    <t>SHP-40248</t>
  </si>
  <si>
    <t>SHP-40249</t>
  </si>
  <si>
    <t>SHP-40250</t>
  </si>
  <si>
    <t>SHP-40251</t>
  </si>
  <si>
    <t>SHP-40252</t>
  </si>
  <si>
    <t>SHP-40253</t>
  </si>
  <si>
    <t>SHP-40254</t>
  </si>
  <si>
    <t>SHP-40255</t>
  </si>
  <si>
    <t>SHP-40256</t>
  </si>
  <si>
    <t>SHP-40257</t>
  </si>
  <si>
    <t>SHP-40258</t>
  </si>
  <si>
    <t>SHP-40259</t>
  </si>
  <si>
    <t>SHP-40260</t>
  </si>
  <si>
    <t>SHP-40261</t>
  </si>
  <si>
    <t>SHP-40262</t>
  </si>
  <si>
    <t>SHP-40263</t>
  </si>
  <si>
    <t>SHP-40264</t>
  </si>
  <si>
    <t>SHP-40265</t>
  </si>
  <si>
    <t>SHP-40266</t>
  </si>
  <si>
    <t>SHP-40267</t>
  </si>
  <si>
    <t>SHP-40268</t>
  </si>
  <si>
    <t>SHP-40269</t>
  </si>
  <si>
    <t>SHP-40270</t>
  </si>
  <si>
    <t>SHP-40271</t>
  </si>
  <si>
    <t>SHP-40272</t>
  </si>
  <si>
    <t>SHP-40273</t>
  </si>
  <si>
    <t>SHP-40274</t>
  </si>
  <si>
    <t>SHP-40275</t>
  </si>
  <si>
    <t>SHP-40276</t>
  </si>
  <si>
    <t>SHP-40277</t>
  </si>
  <si>
    <t>SHP-40278</t>
  </si>
  <si>
    <t>SHP-40279</t>
  </si>
  <si>
    <t>SHP-40280</t>
  </si>
  <si>
    <t>SHP-40281</t>
  </si>
  <si>
    <t>SHP-40282</t>
  </si>
  <si>
    <t>SHP-40283</t>
  </si>
  <si>
    <t>SHP-40284</t>
  </si>
  <si>
    <t>SHP-40285</t>
  </si>
  <si>
    <t>SHP-40286</t>
  </si>
  <si>
    <t>SHP-40287</t>
  </si>
  <si>
    <t>SHP-40288</t>
  </si>
  <si>
    <t>SHP-40289</t>
  </si>
  <si>
    <t>SHP-40290</t>
  </si>
  <si>
    <t>SHP-40291</t>
  </si>
  <si>
    <t>SHP-40292</t>
  </si>
  <si>
    <t>SHP-40293</t>
  </si>
  <si>
    <t>SHP-40294</t>
  </si>
  <si>
    <t>SHP-40295</t>
  </si>
  <si>
    <t>SHP-40296</t>
  </si>
  <si>
    <t>SHP-40297</t>
  </si>
  <si>
    <t>SHP-40298</t>
  </si>
  <si>
    <t>SHP-40299</t>
  </si>
  <si>
    <t>SHP-40300</t>
  </si>
  <si>
    <t>SHP-40301</t>
  </si>
  <si>
    <t>SHP-40302</t>
  </si>
  <si>
    <t>SHP-40303</t>
  </si>
  <si>
    <t>SHP-40304</t>
  </si>
  <si>
    <t>SHP-40305</t>
  </si>
  <si>
    <t>SHP-40306</t>
  </si>
  <si>
    <t>SHP-40307</t>
  </si>
  <si>
    <t>SHP-40308</t>
  </si>
  <si>
    <t>SHP-40309</t>
  </si>
  <si>
    <t>SHP-40310</t>
  </si>
  <si>
    <t>SHP-40311</t>
  </si>
  <si>
    <t>SHP-40312</t>
  </si>
  <si>
    <t>SHP-40313</t>
  </si>
  <si>
    <t>SHP-40314</t>
  </si>
  <si>
    <t>SHP-40315</t>
  </si>
  <si>
    <t>SHP-40316</t>
  </si>
  <si>
    <t>SHP-40317</t>
  </si>
  <si>
    <t>SHP-40318</t>
  </si>
  <si>
    <t>SHP-40319</t>
  </si>
  <si>
    <t>SHP-40320</t>
  </si>
  <si>
    <t>SHP-40321</t>
  </si>
  <si>
    <t>SHP-40322</t>
  </si>
  <si>
    <t>SHP-40323</t>
  </si>
  <si>
    <t>SHP-40324</t>
  </si>
  <si>
    <t>SHP-40325</t>
  </si>
  <si>
    <t>SHP-40326</t>
  </si>
  <si>
    <t>SHP-40327</t>
  </si>
  <si>
    <t>SHP-40328</t>
  </si>
  <si>
    <t>SHP-40329</t>
  </si>
  <si>
    <t>SHP-40330</t>
  </si>
  <si>
    <t>SHP-40331</t>
  </si>
  <si>
    <t>SHP-40332</t>
  </si>
  <si>
    <t>SHP-40333</t>
  </si>
  <si>
    <t>SHP-40334</t>
  </si>
  <si>
    <t>SHP-40335</t>
  </si>
  <si>
    <t>SHP-40336</t>
  </si>
  <si>
    <t>SHP-40337</t>
  </si>
  <si>
    <t>SHP-40338</t>
  </si>
  <si>
    <t>SHP-40339</t>
  </si>
  <si>
    <t>SHP-40340</t>
  </si>
  <si>
    <t>SHP-40341</t>
  </si>
  <si>
    <t>SHP-40342</t>
  </si>
  <si>
    <t>SHP-40343</t>
  </si>
  <si>
    <t>SHP-40344</t>
  </si>
  <si>
    <t>SHP-40345</t>
  </si>
  <si>
    <t>SHP-40346</t>
  </si>
  <si>
    <t>SHP-40347</t>
  </si>
  <si>
    <t>SHP-40348</t>
  </si>
  <si>
    <t>SHP-40349</t>
  </si>
  <si>
    <t>SHP-40350</t>
  </si>
  <si>
    <t>SHP-40351</t>
  </si>
  <si>
    <t>SHP-40352</t>
  </si>
  <si>
    <t>SHP-40353</t>
  </si>
  <si>
    <t>SHP-40354</t>
  </si>
  <si>
    <t>SHP-40355</t>
  </si>
  <si>
    <t>SHP-40356</t>
  </si>
  <si>
    <t>SHP-40357</t>
  </si>
  <si>
    <t>SHP-40358</t>
  </si>
  <si>
    <t>SHP-40359</t>
  </si>
  <si>
    <t>SHP-40360</t>
  </si>
  <si>
    <t>SHP-40361</t>
  </si>
  <si>
    <t>SHP-40362</t>
  </si>
  <si>
    <t>SHP-40363</t>
  </si>
  <si>
    <t>SHP-40364</t>
  </si>
  <si>
    <t>SHP-40365</t>
  </si>
  <si>
    <t>SHP-40366</t>
  </si>
  <si>
    <t>SHP-40367</t>
  </si>
  <si>
    <t>SHP-40368</t>
  </si>
  <si>
    <t>SHP-40369</t>
  </si>
  <si>
    <t>SHP-40370</t>
  </si>
  <si>
    <t>SHP-40371</t>
  </si>
  <si>
    <t>SHP-40372</t>
  </si>
  <si>
    <t>SHP-40373</t>
  </si>
  <si>
    <t>SHP-40374</t>
  </si>
  <si>
    <t>SHP-40375</t>
  </si>
  <si>
    <t>SHP-40376</t>
  </si>
  <si>
    <t>SHP-40377</t>
  </si>
  <si>
    <t>SHP-40378</t>
  </si>
  <si>
    <t>SHP-40379</t>
  </si>
  <si>
    <t>SHP-40380</t>
  </si>
  <si>
    <t>SHP-40381</t>
  </si>
  <si>
    <t>SHP-40382</t>
  </si>
  <si>
    <t>SHP-40383</t>
  </si>
  <si>
    <t>SHP-40384</t>
  </si>
  <si>
    <t>SHP-40385</t>
  </si>
  <si>
    <t>SHP-40386</t>
  </si>
  <si>
    <t>SHP-40387</t>
  </si>
  <si>
    <t>SHP-40388</t>
  </si>
  <si>
    <t>SHP-40389</t>
  </si>
  <si>
    <t>SHP-40390</t>
  </si>
  <si>
    <t>SHP-40391</t>
  </si>
  <si>
    <t>SHP-40392</t>
  </si>
  <si>
    <t>SHP-40393</t>
  </si>
  <si>
    <t>SHP-40394</t>
  </si>
  <si>
    <t>SHP-40395</t>
  </si>
  <si>
    <t>SHP-40396</t>
  </si>
  <si>
    <t>SHP-40397</t>
  </si>
  <si>
    <t>SHP-40398</t>
  </si>
  <si>
    <t>SHP-40399</t>
  </si>
  <si>
    <t>SHP-40400</t>
  </si>
  <si>
    <t>SHP-40401</t>
  </si>
  <si>
    <t>SHP-40402</t>
  </si>
  <si>
    <t>SHP-40403</t>
  </si>
  <si>
    <t>SHP-40404</t>
  </si>
  <si>
    <t>SHP-40405</t>
  </si>
  <si>
    <t>SHP-40406</t>
  </si>
  <si>
    <t>SHP-40407</t>
  </si>
  <si>
    <t>SHP-40408</t>
  </si>
  <si>
    <t>SHP-40409</t>
  </si>
  <si>
    <t>SHP-40410</t>
  </si>
  <si>
    <t>SHP-40411</t>
  </si>
  <si>
    <t>SHP-40412</t>
  </si>
  <si>
    <t>SHP-40413</t>
  </si>
  <si>
    <t>SHP-40414</t>
  </si>
  <si>
    <t>SHP-40415</t>
  </si>
  <si>
    <t>SHP-40416</t>
  </si>
  <si>
    <t>SHP-40417</t>
  </si>
  <si>
    <t>SHP-40418</t>
  </si>
  <si>
    <t>SHP-40419</t>
  </si>
  <si>
    <t>SHP-40420</t>
  </si>
  <si>
    <t>SHP-40421</t>
  </si>
  <si>
    <t>SHP-40422</t>
  </si>
  <si>
    <t>SHP-40423</t>
  </si>
  <si>
    <t>SHP-40424</t>
  </si>
  <si>
    <t>SHP-40425</t>
  </si>
  <si>
    <t>SHP-40426</t>
  </si>
  <si>
    <t>SHP-40427</t>
  </si>
  <si>
    <t>SHP-40428</t>
  </si>
  <si>
    <t>SHP-40429</t>
  </si>
  <si>
    <t>SHP-40430</t>
  </si>
  <si>
    <t>SHP-40431</t>
  </si>
  <si>
    <t>SHP-40432</t>
  </si>
  <si>
    <t>SHP-40433</t>
  </si>
  <si>
    <t>SHP-40434</t>
  </si>
  <si>
    <t>SHP-40435</t>
  </si>
  <si>
    <t>SHP-40436</t>
  </si>
  <si>
    <t>SHP-40437</t>
  </si>
  <si>
    <t>SHP-40438</t>
  </si>
  <si>
    <t>SHP-40439</t>
  </si>
  <si>
    <t>SHP-40440</t>
  </si>
  <si>
    <t>SHP-40441</t>
  </si>
  <si>
    <t>SHP-40442</t>
  </si>
  <si>
    <t>SHP-40443</t>
  </si>
  <si>
    <t>SHP-40444</t>
  </si>
  <si>
    <t>SHP-40445</t>
  </si>
  <si>
    <t>SHP-40446</t>
  </si>
  <si>
    <t>SHP-40447</t>
  </si>
  <si>
    <t>SHP-40448</t>
  </si>
  <si>
    <t>SHP-40449</t>
  </si>
  <si>
    <t>SHP-40450</t>
  </si>
  <si>
    <t>SHP-40451</t>
  </si>
  <si>
    <t>SHP-40452</t>
  </si>
  <si>
    <t>SHP-40453</t>
  </si>
  <si>
    <t>SHP-40454</t>
  </si>
  <si>
    <t>SHP-40455</t>
  </si>
  <si>
    <t>SHP-40456</t>
  </si>
  <si>
    <t>SHP-40457</t>
  </si>
  <si>
    <t>SHP-40458</t>
  </si>
  <si>
    <t>SHP-40459</t>
  </si>
  <si>
    <t>SHP-40460</t>
  </si>
  <si>
    <t>SHP-40461</t>
  </si>
  <si>
    <t>SHP-40462</t>
  </si>
  <si>
    <t>SHP-40463</t>
  </si>
  <si>
    <t>SHP-40464</t>
  </si>
  <si>
    <t>SHP-40465</t>
  </si>
  <si>
    <t>SHP-40466</t>
  </si>
  <si>
    <t>SHP-40467</t>
  </si>
  <si>
    <t>SHP-40468</t>
  </si>
  <si>
    <t>SHP-40469</t>
  </si>
  <si>
    <t>SHP-40470</t>
  </si>
  <si>
    <t>SHP-40471</t>
  </si>
  <si>
    <t>SHP-40472</t>
  </si>
  <si>
    <t>SHP-40473</t>
  </si>
  <si>
    <t>SHP-40474</t>
  </si>
  <si>
    <t>SHP-40475</t>
  </si>
  <si>
    <t>SHP-40476</t>
  </si>
  <si>
    <t>SHP-40477</t>
  </si>
  <si>
    <t>SHP-40478</t>
  </si>
  <si>
    <t>SHP-40479</t>
  </si>
  <si>
    <t>SHP-40480</t>
  </si>
  <si>
    <t>SHP-40481</t>
  </si>
  <si>
    <t>SHP-40482</t>
  </si>
  <si>
    <t>SHP-40483</t>
  </si>
  <si>
    <t>SHP-40484</t>
  </si>
  <si>
    <t>SHP-40485</t>
  </si>
  <si>
    <t>SHP-40486</t>
  </si>
  <si>
    <t>SHP-40487</t>
  </si>
  <si>
    <t>SHP-40488</t>
  </si>
  <si>
    <t>SHP-40489</t>
  </si>
  <si>
    <t>SHP-40490</t>
  </si>
  <si>
    <t>SHP-40491</t>
  </si>
  <si>
    <t>SHP-40492</t>
  </si>
  <si>
    <t>SHP-40493</t>
  </si>
  <si>
    <t>SHP-40494</t>
  </si>
  <si>
    <t>SHP-40495</t>
  </si>
  <si>
    <t>SHP-40496</t>
  </si>
  <si>
    <t>SHP-40497</t>
  </si>
  <si>
    <t>SHP-40498</t>
  </si>
  <si>
    <t>SHP-40499</t>
  </si>
  <si>
    <t>SHP-40500</t>
  </si>
  <si>
    <t>Values</t>
  </si>
  <si>
    <t>Sum of Total Cost</t>
  </si>
  <si>
    <t>Sum of Quantity</t>
  </si>
  <si>
    <t>Count of Shipment ID</t>
  </si>
  <si>
    <t>Total Sum of Total Cost</t>
  </si>
  <si>
    <t>Total Sum of Quantity</t>
  </si>
  <si>
    <t>Total Count of Shipment ID</t>
  </si>
  <si>
    <t>No Total</t>
  </si>
  <si>
    <t>Yes Total</t>
  </si>
  <si>
    <t>Atlas Manufacturing Total</t>
  </si>
  <si>
    <t>Continental Distributors Total</t>
  </si>
  <si>
    <t>Eastern Components Total</t>
  </si>
  <si>
    <t>Frontier Chemical Supply Total</t>
  </si>
  <si>
    <t>Global Parts Inc Total</t>
  </si>
  <si>
    <t>Harbor Trading Co Total</t>
  </si>
  <si>
    <t>Midwest Industrial Total</t>
  </si>
  <si>
    <t>Nordic Supply Group Total</t>
  </si>
  <si>
    <t>Pacific Supply Co Total</t>
  </si>
  <si>
    <t>Pinnacle Materials Total</t>
  </si>
  <si>
    <t>Premier Raw Materials Total</t>
  </si>
  <si>
    <t>Reliable Metals Corp Total</t>
  </si>
  <si>
    <t>Southern Logistics Total</t>
  </si>
  <si>
    <t>Summit Electronics Total</t>
  </si>
  <si>
    <t>Valley Fabrication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</si>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</sst>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dobe Garamond Pro Bold"/>
      <charset val="134"/>
    </font>
    <font>
      <b/>
      <sz val="11"/>
      <color rgb="FFFFFFFF"/>
      <name val="Aptos Narrow"/>
      <charset val="134"/>
    </font>
    <font>
      <sz val="11"/>
      <color rgb="FF000000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/>
    <xf numFmtId="8" fontId="0" fillId="0" borderId="0" xfId="0" applyNumberFormat="1"/>
    <xf numFmtId="0" fontId="0" fillId="0" borderId="0" xfId="0" applyNumberFormat="1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0" borderId="0" xfId="0" applyFont="1" applyFill="1" applyBorder="1" applyAlignment="1"/>
    <xf numFmtId="58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3" fontId="3" fillId="0" borderId="0" xfId="0" applyNumberFormat="1" applyFont="1" applyFill="1" applyBorder="1" applyAlignment="1"/>
    <xf numFmtId="8" fontId="3" fillId="0" borderId="0" xfId="0" applyNumberFormat="1" applyFont="1" applyFill="1" applyBorder="1" applyAlignme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4" xfId="0" applyBorder="1"/>
    <xf numFmtId="0" fontId="0" fillId="0" borderId="0" xfId="0" applyBorder="1"/>
    <xf numFmtId="8" fontId="0" fillId="0" borderId="4" xfId="0" applyNumberFormat="1" applyBorder="1"/>
    <xf numFmtId="0" fontId="0" fillId="0" borderId="5" xfId="0" applyBorder="1"/>
    <xf numFmtId="0" fontId="0" fillId="3" borderId="6" xfId="0" applyFill="1" applyBorder="1"/>
    <xf numFmtId="0" fontId="0" fillId="3" borderId="0" xfId="0" applyFill="1"/>
    <xf numFmtId="3" fontId="0" fillId="0" borderId="0" xfId="0" applyNumberFormat="1"/>
    <xf numFmtId="0" fontId="0" fillId="0" borderId="7" xfId="0" applyBorder="1"/>
    <xf numFmtId="0" fontId="0" fillId="0" borderId="8" xfId="0" applyBorder="1"/>
    <xf numFmtId="8" fontId="0" fillId="0" borderId="7" xfId="0" applyNumberFormat="1" applyBorder="1"/>
    <xf numFmtId="0" fontId="0" fillId="0" borderId="9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302.7277835648" refreshedBy="Excel Services" recordCount="500">
  <cacheSource type="worksheet">
    <worksheetSource ref="A1:K501" sheet="Shipment Data"/>
  </cacheSource>
  <cacheFields count="11">
    <cacheField name="Shipment ID" numFmtId="0"/>
    <cacheField name="Order Date" numFmtId="58"/>
    <cacheField name="Supplier Name" numFmtId="49">
      <sharedItems count="15">
        <s v="Frontier Chemical Supply"/>
        <s v="Midwest Industrial"/>
        <s v="Summit Electronics"/>
        <s v="Continental Distributors"/>
        <s v="Reliable Metals Corp"/>
        <s v="Atlas Manufacturing"/>
        <s v="Global Parts Inc"/>
        <s v="Harbor Trading Co"/>
        <s v="Southern Logistics"/>
        <s v="Premier Raw Materials"/>
        <s v="Valley Fabrication"/>
        <s v="Pacific Supply Co"/>
        <s v="Pinnacle Materials"/>
        <s v="Nordic Supply Group"/>
        <s v="Eastern Components"/>
      </sharedItems>
    </cacheField>
    <cacheField name="Product Category" numFmtId="49">
      <sharedItems count="10">
        <s v="Chemicals"/>
        <s v="Packaging"/>
        <s v="Machinery"/>
        <s v="Automotive Parts"/>
        <s v="Electronics"/>
        <s v="Textiles"/>
        <s v="Raw Materials"/>
        <s v="Medical Supplies"/>
        <s v="Office Supplies"/>
        <s v="Food Ingredients"/>
      </sharedItems>
    </cacheField>
    <cacheField name="Quantity" numFmtId="0"/>
    <cacheField name="Total Cost" numFmtId="8">
      <sharedItems containsSemiMixedTypes="0" containsString="0" containsNumber="1" minValue="0" maxValue="49499.19" count="500">
        <n v="771.78"/>
        <n v="1960.2"/>
        <n v="3253.23"/>
        <n v="6248.57"/>
        <n v="6853.79"/>
        <n v="23291.97"/>
        <n v="18586.28"/>
        <n v="5850.56"/>
        <n v="8869.92"/>
        <n v="8566.53"/>
        <n v="9370.82"/>
        <n v="5525.28"/>
        <n v="11504.1"/>
        <n v="41281.18"/>
        <n v="19097.85"/>
        <n v="5835.74"/>
        <n v="4710.9"/>
        <n v="13095.54"/>
        <n v="1153.65"/>
        <n v="44799.1"/>
        <n v="10705.37"/>
        <n v="7057.45"/>
        <n v="12774.03"/>
        <n v="4552.75"/>
        <n v="97.93"/>
        <n v="45449.71"/>
        <n v="11475.57"/>
        <n v="7802.81"/>
        <n v="4039.48"/>
        <n v="9813.28"/>
        <n v="3730.6"/>
        <n v="16520.34"/>
        <n v="18311.02"/>
        <n v="1113.01"/>
        <n v="11037.69"/>
        <n v="149.59"/>
        <n v="41672.74"/>
        <n v="15574.38"/>
        <n v="3250.63"/>
        <n v="3007.01"/>
        <n v="5848.09"/>
        <n v="6328.52"/>
        <n v="22627.48"/>
        <n v="19745.5"/>
        <n v="341.18"/>
        <n v="13517.97"/>
        <n v="8414.1"/>
        <n v="12030.4"/>
        <n v="3146.47"/>
        <n v="1432.4"/>
        <n v="7847.13"/>
        <n v="5436.14"/>
        <n v="1148.58"/>
        <n v="37060.46"/>
        <n v="33935.94"/>
        <n v="11180.7"/>
        <n v="10023.08"/>
        <n v="1811.48"/>
        <n v="8671.11"/>
        <n v="5840.08"/>
        <n v="1635.73"/>
        <n v="5502.18"/>
        <n v="793.63"/>
        <n v="4663.4"/>
        <n v="1483.71"/>
        <n v="18194.91"/>
        <n v="7860.4"/>
        <n v="1506.32"/>
        <n v="6146.22"/>
        <n v="4653.24"/>
        <n v="31566.82"/>
        <n v="4734.22"/>
        <n v="10488.6"/>
        <n v="7929.93"/>
        <n v="2384.87"/>
        <n v="10482.81"/>
        <n v="9561.53"/>
        <n v="19134.03"/>
        <n v="4557.12"/>
        <n v="31424.43"/>
        <n v="19367.65"/>
        <n v="5208.94"/>
        <n v="667.96"/>
        <n v="1449.41"/>
        <n v="6629.81"/>
        <n v="2797.2"/>
        <n v="1672.31"/>
        <n v="15224.23"/>
        <n v="1620.42"/>
        <n v="24095.03"/>
        <n v="457.51"/>
        <n v="1497.38"/>
        <n v="3478.07"/>
        <n v="126.08"/>
        <n v="1475.44"/>
        <n v="19600.52"/>
        <n v="1125.57"/>
        <n v="9665.63"/>
        <n v="9487.56"/>
        <n v="9474.86"/>
        <n v="610.56"/>
        <n v="1208.41"/>
        <n v="921.29"/>
        <n v="22673.92"/>
        <n v="612.23"/>
        <n v="1824.36"/>
        <n v="2434.08"/>
        <n v="435.67"/>
        <n v="2497.51"/>
        <n v="7775.95"/>
        <n v="4272.7"/>
        <n v="5169.58"/>
        <n v="17275.12"/>
        <n v="3018.67"/>
        <n v="4395.49"/>
        <n v="9809.52"/>
        <n v="4936.63"/>
        <n v="5465.45"/>
        <n v="3213.92"/>
        <n v="955.45"/>
        <n v="40379.57"/>
        <n v="1928.2"/>
        <n v="13818.29"/>
        <n v="4106.39"/>
        <n v="7448.84"/>
        <n v="8021.28"/>
        <n v="2232.45"/>
        <n v="3186.37"/>
        <n v="20781.72"/>
        <n v="1718.05"/>
        <n v="5867.02"/>
        <n v="541.36"/>
        <n v="2120.69"/>
        <n v="4767.81"/>
        <n v="10073.49"/>
        <n v="12851.46"/>
        <n v="4143.65"/>
        <n v="11180.09"/>
        <n v="3034.07"/>
        <n v="3245.79"/>
        <n v="249.19"/>
        <n v="13398.44"/>
        <n v="22261.43"/>
        <n v="4558.7"/>
        <n v="1047.79"/>
        <n v="30306.06"/>
        <n v="322.57"/>
        <n v="39215.43"/>
        <n v="33159.49"/>
        <n v="2705.15"/>
        <n v="11613.09"/>
        <n v="8406"/>
        <n v="5582.3"/>
        <n v="574.05"/>
        <n v="6589.94"/>
        <n v="2765.81"/>
        <n v="13416.45"/>
        <n v="21454.14"/>
        <n v="49499.19"/>
        <n v="18713.1"/>
        <n v="4381.69"/>
        <n v="2886.89"/>
        <n v="7297.33"/>
        <n v="1410.96"/>
        <n v="2723.46"/>
        <n v="2495.81"/>
        <n v="6077.65"/>
        <n v="2794.23"/>
        <n v="6781.91"/>
        <n v="1815.21"/>
        <n v="2333.27"/>
        <n v="2817.94"/>
        <n v="14759.69"/>
        <n v="5030.58"/>
        <n v="456.53"/>
        <n v="33757.5"/>
        <n v="2539.1"/>
        <n v="10825.98"/>
        <n v="4320.01"/>
        <n v="18910.12"/>
        <n v="7684.71"/>
        <n v="5383.26"/>
        <n v="5861.31"/>
        <n v="4907.52"/>
        <n v="661.49"/>
        <n v="8272.48"/>
        <n v="716.37"/>
        <n v="871.61"/>
        <n v="10122.99"/>
        <n v="8540.85"/>
        <n v="4796.16"/>
        <n v="1632.78"/>
        <n v="3545.65"/>
        <n v="1988.75"/>
        <n v="13642.93"/>
        <n v="2401.16"/>
        <n v="4448.55"/>
        <n v="5434.27"/>
        <n v="611.02"/>
        <n v="676.55"/>
        <n v="11229.17"/>
        <n v="6227.86"/>
        <n v="3506.01"/>
        <n v="2203.32"/>
        <n v="4632.84"/>
        <n v="5686.17"/>
        <n v="1308.78"/>
        <n v="14448.74"/>
        <n v="6732.23"/>
        <n v="6430.92"/>
        <n v="21128.06"/>
        <n v="4493.63"/>
        <n v="1642.13"/>
        <n v="22514.24"/>
        <n v="21572.93"/>
        <n v="1891.6"/>
        <n v="1189.21"/>
        <n v="4566.08"/>
        <n v="3483.94"/>
        <n v="11864.03"/>
        <n v="8121.97"/>
        <n v="47107.75"/>
        <n v="1419.88"/>
        <n v="14847.25"/>
        <n v="2764.91"/>
        <n v="4632.26"/>
        <n v="645.99"/>
        <n v="1932.81"/>
        <n v="4301.6"/>
        <n v="15905.05"/>
        <n v="6170.06"/>
        <n v="5368.04"/>
        <n v="40028.33"/>
        <n v="10168.37"/>
        <n v="12063.99"/>
        <n v="13320.15"/>
        <n v="26885.97"/>
        <n v="3474.18"/>
        <n v="544.57"/>
        <n v="2144.57"/>
        <n v="4314.77"/>
        <n v="5643.62"/>
        <n v="3989.6"/>
        <n v="12680.05"/>
        <n v="2007.88"/>
        <n v="4324.8"/>
        <n v="4317.83"/>
        <n v="3866.05"/>
        <n v="957.88"/>
        <n v="11528.69"/>
        <n v="728.35"/>
        <n v="665.86"/>
        <n v="17304.01"/>
        <n v="2833.33"/>
        <n v="340.66"/>
        <n v="4290.95"/>
        <n v="2231.13"/>
        <n v="2299.13"/>
        <n v="5874.45"/>
        <n v="8574.08"/>
        <n v="2444.48"/>
        <n v="23675.12"/>
        <n v="2772.83"/>
        <n v="1436.13"/>
        <n v="46017.38"/>
        <n v="1251.27"/>
        <n v="12392.31"/>
        <n v="4218.99"/>
        <n v="5159.92"/>
        <n v="37685.37"/>
        <n v="14562.37"/>
        <n v="18987.83"/>
        <n v="11803.05"/>
        <n v="234.34"/>
        <n v="4075.25"/>
        <n v="3537.67"/>
        <n v="1109.09"/>
        <n v="395.28"/>
        <n v="5592.64"/>
        <n v="4812.1"/>
        <n v="3909.19"/>
        <n v="1686.77"/>
        <n v="14907.3"/>
        <n v="5467.5"/>
        <n v="8062.3"/>
        <n v="5098.35"/>
        <n v="5552.01"/>
        <n v="4282.38"/>
        <n v="7798.73"/>
        <n v="4607.52"/>
        <n v="1296.1"/>
        <n v="2435.46"/>
        <n v="14560.11"/>
        <n v="2916.02"/>
        <n v="22257.51"/>
        <n v="13280.3"/>
        <n v="4326.36"/>
        <n v="11414.16"/>
        <n v="937.97"/>
        <n v="3141.27"/>
        <n v="2884.32"/>
        <n v="11060.61"/>
        <n v="3438.68"/>
        <n v="9383.83"/>
        <n v="4660.18"/>
        <n v="21919.61"/>
        <n v="2835.56"/>
        <n v="3629.58"/>
        <n v="40373.94"/>
        <n v="17087.99"/>
        <n v="1997.63"/>
        <n v="1454.32"/>
        <n v="1889.76"/>
        <n v="3995.92"/>
        <n v="17114.71"/>
        <n v="4852.57"/>
        <n v="11457.91"/>
        <n v="13692.03"/>
        <n v="3773.3"/>
        <n v="13924.43"/>
        <n v="48778.97"/>
        <n v="1805.04"/>
        <n v="3867.18"/>
        <n v="10420.69"/>
        <n v="21261.82"/>
        <n v="14959.89"/>
        <n v="2845.48"/>
        <n v="14527.89"/>
        <n v="978.37"/>
        <n v="30890.42"/>
        <n v="27413.05"/>
        <n v="16510.47"/>
        <n v="6134.69"/>
        <n v="3342.32"/>
        <n v="5519.19"/>
        <n v="15312.65"/>
        <n v="32890.16"/>
        <n v="10832.41"/>
        <n v="3376.8"/>
        <n v="4462.66"/>
        <n v="14357.57"/>
        <n v="3380.36"/>
        <n v="2848.21"/>
        <n v="2614.46"/>
        <n v="4919.86"/>
        <n v="177.05"/>
        <n v="490.87"/>
        <n v="4072.94"/>
        <n v="1625.67"/>
        <n v="2746.02"/>
        <n v="1924.55"/>
        <n v="5410.84"/>
        <n v="11963.91"/>
        <n v="529.69"/>
        <n v="2731.58"/>
        <n v="4461.52"/>
        <n v="5031.09"/>
        <n v="9018.8"/>
        <n v="7071.15"/>
        <n v="3956.52"/>
        <n v="930.19"/>
        <n v="2527.77"/>
        <n v="7756.68"/>
        <n v="3468.11"/>
        <n v="47280.88"/>
        <n v="5953.33"/>
        <n v="1072.43"/>
        <n v="7786.9"/>
        <n v="7569.6"/>
        <n v="2859.96"/>
        <n v="6175.1"/>
        <n v="12888.89"/>
        <n v="8275.3"/>
        <n v="544.41"/>
        <n v="46117.77"/>
        <n v="2261.17"/>
        <n v="4747.26"/>
        <n v="4706.48"/>
        <n v="3070.27"/>
        <n v="12385.86"/>
        <n v="2055.68"/>
        <n v="10001.27"/>
        <n v="7781.57"/>
        <n v="23134"/>
        <n v="5896.35"/>
        <n v="4282.41"/>
        <n v="2316.43"/>
        <n v="8058.31"/>
        <n v="2818.09"/>
        <n v="1926.16"/>
        <n v="6774.51"/>
        <n v="928.77"/>
        <n v="1631.68"/>
        <n v="6757.89"/>
        <n v="14725.75"/>
        <n v="10440.52"/>
        <n v="11314.14"/>
        <n v="2983.04"/>
        <n v="14553.87"/>
        <n v="8704.72"/>
        <n v="10553.1"/>
        <n v="5816.52"/>
        <n v="10505.98"/>
        <n v="5499.75"/>
        <n v="6867.06"/>
        <n v="596.22"/>
        <n v="2080.83"/>
        <n v="37497.84"/>
        <n v="5475.09"/>
        <n v="1435.25"/>
        <n v="2867.73"/>
        <n v="5185.06"/>
        <n v="25732.91"/>
        <n v="10221.53"/>
        <n v="7450.81"/>
        <n v="3775.95"/>
        <n v="1759.76"/>
        <n v="6833.15"/>
        <n v="35459.05"/>
        <n v="1531.31"/>
        <n v="14610.76"/>
        <n v="9332.68"/>
        <n v="396.18"/>
        <n v="1583.4"/>
        <n v="4469.64"/>
        <n v="8498.07"/>
        <n v="94.5"/>
        <n v="10143.21"/>
        <n v="4372.62"/>
        <n v="2113.81"/>
        <n v="641.67"/>
        <n v="1979.8"/>
        <n v="2571.56"/>
        <n v="3891.05"/>
        <n v="1549.34"/>
        <n v="12348.35"/>
        <n v="6976.88"/>
        <n v="23179.65"/>
        <n v="9121.52"/>
        <n v="6075.41"/>
        <n v="11805.7"/>
        <n v="1538.85"/>
        <n v="4882.49"/>
        <n v="1037.82"/>
        <n v="1407.85"/>
        <n v="11320.24"/>
        <n v="11627.33"/>
        <n v="14267.66"/>
        <n v="3977.02"/>
        <n v="4218"/>
        <n v="1124.88"/>
        <n v="5563.27"/>
        <n v="3300.46"/>
        <n v="5719.12"/>
        <n v="7673.26"/>
        <n v="16402.84"/>
        <n v="17005.87"/>
        <n v="4675"/>
        <n v="10818.57"/>
        <n v="5911.76"/>
        <n v="3109.24"/>
        <n v="5618.69"/>
        <n v="1424.81"/>
        <n v="5201.99"/>
        <n v="4131.88"/>
        <n v="18306.53"/>
        <n v="9624.06"/>
        <n v="227.55"/>
        <n v="20623.79"/>
        <n v="666.49"/>
        <n v="3850.35"/>
        <n v="8527.47"/>
        <n v="2871.46"/>
        <n v="1793.86"/>
        <n v="532.92"/>
        <n v="15448.16"/>
        <n v="13772.76"/>
        <n v="9268.41"/>
        <n v="8079.91"/>
        <n v="2969.78"/>
        <n v="14678.96"/>
        <n v="6602.12"/>
        <n v="2779.74"/>
        <n v="7062.56"/>
        <n v="1308.35"/>
        <n v="2232.11"/>
        <n v="587.7"/>
        <n v="4848.54"/>
        <n v="1722.5"/>
        <n v="24815"/>
        <n v="934.08"/>
        <n v="6424.82"/>
        <n v="7408.56"/>
        <n v="13881.58"/>
        <n v="17587.58"/>
        <n v="16918.74"/>
        <n v="4263.02"/>
        <n v="4777.71"/>
        <n v="3694.75"/>
        <n v="10520.87"/>
      </sharedItems>
    </cacheField>
    <cacheField name="Ship Date" numFmtId="58"/>
    <cacheField name="Delivery Date" numFmtId="58"/>
    <cacheField name="Shipping Carrier" numFmtId="49"/>
    <cacheField name="Shipping Mode" numFmtId="49">
      <sharedItems count="4">
        <s v="Sea"/>
        <s v="Road"/>
        <s v="Rail"/>
        <s v="Air"/>
      </sharedItems>
    </cacheField>
    <cacheField name="On-Time Delivery" numFmtId="49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HP-40001"/>
    <d v="2024-07-06T00:00:00"/>
    <x v="0"/>
    <x v="0"/>
    <n v="2968"/>
    <x v="0"/>
    <d v="2024-07-08T00:00:00"/>
    <d v="2024-08-21T00:00:00"/>
    <s v="UPS"/>
    <x v="0"/>
    <x v="0"/>
  </r>
  <r>
    <s v="SHP-40002"/>
    <d v="2025-02-19T00:00:00"/>
    <x v="1"/>
    <x v="1"/>
    <n v="2059"/>
    <x v="1"/>
    <d v="2025-02-22T00:00:00"/>
    <d v="2025-02-24T00:00:00"/>
    <s v="UPS"/>
    <x v="1"/>
    <x v="1"/>
  </r>
  <r>
    <s v="SHP-40003"/>
    <d v="2025-10-26T00:00:00"/>
    <x v="2"/>
    <x v="0"/>
    <n v="4046"/>
    <x v="2"/>
    <d v="2025-10-29T00:00:00"/>
    <d v="2025-11-16T00:00:00"/>
    <s v="FedEx"/>
    <x v="0"/>
    <x v="1"/>
  </r>
  <r>
    <s v="SHP-40004"/>
    <d v="2024-12-31T00:00:00"/>
    <x v="3"/>
    <x v="2"/>
    <n v="4494"/>
    <x v="3"/>
    <d v="2025-01-02T00:00:00"/>
    <d v="2025-01-09T00:00:00"/>
    <s v="Local"/>
    <x v="1"/>
    <x v="1"/>
  </r>
  <r>
    <s v="SHP-40005"/>
    <d v="2024-04-20T00:00:00"/>
    <x v="4"/>
    <x v="3"/>
    <n v="927"/>
    <x v="4"/>
    <d v="2024-04-22T00:00:00"/>
    <d v="2024-04-28T00:00:00"/>
    <s v="UPS"/>
    <x v="1"/>
    <x v="1"/>
  </r>
  <r>
    <s v="SHP-40006"/>
    <d v="2024-03-27T00:00:00"/>
    <x v="2"/>
    <x v="4"/>
    <n v="3919"/>
    <x v="5"/>
    <d v="2024-03-28T00:00:00"/>
    <d v="2024-03-30T00:00:00"/>
    <s v="Local"/>
    <x v="1"/>
    <x v="1"/>
  </r>
  <r>
    <s v="SHP-40007"/>
    <d v="2024-07-09T00:00:00"/>
    <x v="0"/>
    <x v="3"/>
    <n v="4192"/>
    <x v="6"/>
    <d v="2024-07-10T00:00:00"/>
    <d v="2024-07-16T00:00:00"/>
    <s v="UPS"/>
    <x v="2"/>
    <x v="1"/>
  </r>
  <r>
    <s v="SHP-40008"/>
    <d v="2025-01-24T00:00:00"/>
    <x v="1"/>
    <x v="5"/>
    <n v="372"/>
    <x v="7"/>
    <d v="2025-01-26T00:00:00"/>
    <d v="2025-02-07T00:00:00"/>
    <s v="FedEx"/>
    <x v="2"/>
    <x v="1"/>
  </r>
  <r>
    <s v="SHP-40009"/>
    <d v="2025-04-12T00:00:00"/>
    <x v="4"/>
    <x v="2"/>
    <n v="1800"/>
    <x v="8"/>
    <d v="2025-04-15T00:00:00"/>
    <d v="2025-04-25T00:00:00"/>
    <s v="DHL"/>
    <x v="2"/>
    <x v="1"/>
  </r>
  <r>
    <s v="SHP-40010"/>
    <d v="2025-03-19T00:00:00"/>
    <x v="0"/>
    <x v="6"/>
    <n v="1503"/>
    <x v="9"/>
    <d v="2025-03-22T00:00:00"/>
    <d v="2025-03-30T00:00:00"/>
    <s v="Local"/>
    <x v="1"/>
    <x v="1"/>
  </r>
  <r>
    <s v="SHP-40011"/>
    <d v="2024-04-27T00:00:00"/>
    <x v="5"/>
    <x v="6"/>
    <n v="10"/>
    <x v="10"/>
    <d v="2024-04-28T00:00:00"/>
    <d v="2024-05-05T00:00:00"/>
    <s v="FedEx"/>
    <x v="1"/>
    <x v="1"/>
  </r>
  <r>
    <s v="SHP-40012"/>
    <d v="2024-03-25T00:00:00"/>
    <x v="6"/>
    <x v="3"/>
    <n v="4742"/>
    <x v="11"/>
    <d v="2024-03-28T00:00:00"/>
    <d v="2024-04-05T00:00:00"/>
    <s v="DHL"/>
    <x v="1"/>
    <x v="1"/>
  </r>
  <r>
    <s v="SHP-40013"/>
    <d v="2025-04-10T00:00:00"/>
    <x v="7"/>
    <x v="4"/>
    <n v="1902"/>
    <x v="12"/>
    <d v="2025-04-12T00:00:00"/>
    <d v="2025-04-14T00:00:00"/>
    <s v="Local"/>
    <x v="3"/>
    <x v="1"/>
  </r>
  <r>
    <s v="SHP-40014"/>
    <d v="2024-02-16T00:00:00"/>
    <x v="6"/>
    <x v="2"/>
    <n v="4431"/>
    <x v="13"/>
    <d v="2024-02-18T00:00:00"/>
    <d v="2024-02-22T00:00:00"/>
    <s v="FedEx"/>
    <x v="1"/>
    <x v="1"/>
  </r>
  <r>
    <s v="SHP-40015"/>
    <d v="2025-08-02T00:00:00"/>
    <x v="1"/>
    <x v="3"/>
    <n v="2425"/>
    <x v="14"/>
    <d v="2025-08-03T00:00:00"/>
    <d v="2025-08-06T00:00:00"/>
    <s v="DHL"/>
    <x v="3"/>
    <x v="1"/>
  </r>
  <r>
    <s v="SHP-40016"/>
    <d v="2024-02-12T00:00:00"/>
    <x v="8"/>
    <x v="4"/>
    <n v="136"/>
    <x v="15"/>
    <d v="2024-02-15T00:00:00"/>
    <d v="2024-02-17T00:00:00"/>
    <s v="Local"/>
    <x v="1"/>
    <x v="1"/>
  </r>
  <r>
    <s v="SHP-40017"/>
    <d v="2024-07-07T00:00:00"/>
    <x v="9"/>
    <x v="6"/>
    <n v="3714"/>
    <x v="16"/>
    <d v="2024-07-10T00:00:00"/>
    <d v="2024-07-25T00:00:00"/>
    <s v="DHL"/>
    <x v="0"/>
    <x v="1"/>
  </r>
  <r>
    <s v="SHP-40018"/>
    <d v="2025-03-18T00:00:00"/>
    <x v="5"/>
    <x v="4"/>
    <n v="2708"/>
    <x v="17"/>
    <d v="2025-03-20T00:00:00"/>
    <d v="2025-03-24T00:00:00"/>
    <s v="Local"/>
    <x v="1"/>
    <x v="1"/>
  </r>
  <r>
    <s v="SHP-40019"/>
    <d v="2024-07-06T00:00:00"/>
    <x v="6"/>
    <x v="4"/>
    <n v="1664"/>
    <x v="18"/>
    <d v="2024-07-09T00:00:00"/>
    <d v="2024-07-23T00:00:00"/>
    <s v="DHL"/>
    <x v="0"/>
    <x v="1"/>
  </r>
  <r>
    <s v="SHP-40020"/>
    <d v="2024-03-03T00:00:00"/>
    <x v="6"/>
    <x v="2"/>
    <n v="4388"/>
    <x v="19"/>
    <d v="2024-03-05T00:00:00"/>
    <d v="2024-03-09T00:00:00"/>
    <s v="FedEx"/>
    <x v="1"/>
    <x v="1"/>
  </r>
  <r>
    <s v="SHP-40021"/>
    <d v="2024-09-16T00:00:00"/>
    <x v="2"/>
    <x v="6"/>
    <n v="3329"/>
    <x v="20"/>
    <d v="2024-09-18T00:00:00"/>
    <d v="2024-09-25T00:00:00"/>
    <s v="DHL"/>
    <x v="1"/>
    <x v="1"/>
  </r>
  <r>
    <s v="SHP-40022"/>
    <d v="2024-08-23T00:00:00"/>
    <x v="2"/>
    <x v="6"/>
    <n v="741"/>
    <x v="21"/>
    <d v="2024-08-25T00:00:00"/>
    <d v="2024-08-27T00:00:00"/>
    <s v="DHL"/>
    <x v="3"/>
    <x v="1"/>
  </r>
  <r>
    <s v="SHP-40023"/>
    <d v="2025-09-03T00:00:00"/>
    <x v="10"/>
    <x v="7"/>
    <n v="1893"/>
    <x v="22"/>
    <d v="2025-09-05T00:00:00"/>
    <d v="2025-09-14T00:00:00"/>
    <s v="FedEx"/>
    <x v="1"/>
    <x v="0"/>
  </r>
  <r>
    <s v="SHP-40024"/>
    <d v="2025-10-03T00:00:00"/>
    <x v="11"/>
    <x v="3"/>
    <n v="1581"/>
    <x v="23"/>
    <d v="2025-10-06T00:00:00"/>
    <d v="2025-10-10T00:00:00"/>
    <s v="Local"/>
    <x v="3"/>
    <x v="1"/>
  </r>
  <r>
    <s v="SHP-40025"/>
    <d v="2025-08-18T00:00:00"/>
    <x v="6"/>
    <x v="8"/>
    <n v="4835"/>
    <x v="24"/>
    <d v="2025-08-20T00:00:00"/>
    <d v="2025-09-08T00:00:00"/>
    <s v="DHL"/>
    <x v="0"/>
    <x v="1"/>
  </r>
  <r>
    <s v="SHP-40026"/>
    <d v="2025-08-20T00:00:00"/>
    <x v="6"/>
    <x v="2"/>
    <n v="2307"/>
    <x v="25"/>
    <d v="2025-08-21T00:00:00"/>
    <d v="2025-08-28T00:00:00"/>
    <s v="UPS"/>
    <x v="1"/>
    <x v="1"/>
  </r>
  <r>
    <s v="SHP-40027"/>
    <d v="2025-07-06T00:00:00"/>
    <x v="0"/>
    <x v="7"/>
    <n v="4207"/>
    <x v="26"/>
    <d v="2025-07-07T00:00:00"/>
    <d v="2025-07-12T00:00:00"/>
    <s v="DHL"/>
    <x v="3"/>
    <x v="1"/>
  </r>
  <r>
    <s v="SHP-40028"/>
    <d v="2024-12-19T00:00:00"/>
    <x v="11"/>
    <x v="4"/>
    <n v="1641"/>
    <x v="27"/>
    <d v="2024-12-22T00:00:00"/>
    <d v="2024-12-25T00:00:00"/>
    <s v="DHL"/>
    <x v="1"/>
    <x v="1"/>
  </r>
  <r>
    <s v="SHP-40029"/>
    <d v="2025-03-23T00:00:00"/>
    <x v="5"/>
    <x v="6"/>
    <n v="3371"/>
    <x v="28"/>
    <d v="2025-03-24T00:00:00"/>
    <d v="2025-04-07T00:00:00"/>
    <s v="FedEx"/>
    <x v="2"/>
    <x v="0"/>
  </r>
  <r>
    <s v="SHP-40030"/>
    <d v="2024-04-06T00:00:00"/>
    <x v="12"/>
    <x v="6"/>
    <n v="206"/>
    <x v="29"/>
    <d v="2024-04-07T00:00:00"/>
    <d v="2024-05-11T00:00:00"/>
    <s v="DHL"/>
    <x v="0"/>
    <x v="0"/>
  </r>
  <r>
    <s v="SHP-40031"/>
    <d v="2024-01-30T00:00:00"/>
    <x v="9"/>
    <x v="1"/>
    <n v="138"/>
    <x v="30"/>
    <d v="2024-02-01T00:00:00"/>
    <d v="2024-02-05T00:00:00"/>
    <s v="FedEx"/>
    <x v="3"/>
    <x v="1"/>
  </r>
  <r>
    <s v="SHP-40032"/>
    <d v="2025-11-03T00:00:00"/>
    <x v="4"/>
    <x v="3"/>
    <n v="934"/>
    <x v="31"/>
    <d v="2025-11-04T00:00:00"/>
    <d v="2025-11-12T00:00:00"/>
    <s v="DHL"/>
    <x v="1"/>
    <x v="1"/>
  </r>
  <r>
    <s v="SHP-40033"/>
    <d v="2025-10-14T00:00:00"/>
    <x v="2"/>
    <x v="3"/>
    <n v="4619"/>
    <x v="32"/>
    <d v="2025-10-16T00:00:00"/>
    <d v="2025-10-17T00:00:00"/>
    <s v="Local"/>
    <x v="3"/>
    <x v="1"/>
  </r>
  <r>
    <s v="SHP-40034"/>
    <d v="2025-12-17T00:00:00"/>
    <x v="13"/>
    <x v="5"/>
    <n v="623"/>
    <x v="33"/>
    <d v="2025-12-19T00:00:00"/>
    <d v="2025-12-27T00:00:00"/>
    <s v="UPS"/>
    <x v="1"/>
    <x v="1"/>
  </r>
  <r>
    <s v="SHP-40035"/>
    <d v="2024-10-17T00:00:00"/>
    <x v="14"/>
    <x v="6"/>
    <n v="4141"/>
    <x v="34"/>
    <d v="2024-10-19T00:00:00"/>
    <d v="2024-10-30T00:00:00"/>
    <s v="DHL"/>
    <x v="2"/>
    <x v="1"/>
  </r>
  <r>
    <s v="SHP-40036"/>
    <d v="2024-02-04T00:00:00"/>
    <x v="11"/>
    <x v="1"/>
    <n v="1784"/>
    <x v="35"/>
    <d v="2024-02-06T00:00:00"/>
    <d v="2024-02-16T00:00:00"/>
    <s v="UPS"/>
    <x v="2"/>
    <x v="1"/>
  </r>
  <r>
    <s v="SHP-40037"/>
    <d v="2025-03-29T00:00:00"/>
    <x v="1"/>
    <x v="2"/>
    <n v="37"/>
    <x v="36"/>
    <d v="2025-04-01T00:00:00"/>
    <d v="2025-04-03T00:00:00"/>
    <s v="DHL"/>
    <x v="1"/>
    <x v="1"/>
  </r>
  <r>
    <s v="SHP-40038"/>
    <d v="2025-01-24T00:00:00"/>
    <x v="14"/>
    <x v="3"/>
    <n v="3663"/>
    <x v="37"/>
    <d v="2025-01-27T00:00:00"/>
    <d v="2025-01-30T00:00:00"/>
    <s v="FedEx"/>
    <x v="1"/>
    <x v="1"/>
  </r>
  <r>
    <s v="SHP-40039"/>
    <d v="2024-06-24T00:00:00"/>
    <x v="6"/>
    <x v="5"/>
    <n v="46"/>
    <x v="38"/>
    <d v="2024-06-27T00:00:00"/>
    <d v="2024-07-04T00:00:00"/>
    <s v="UPS"/>
    <x v="1"/>
    <x v="1"/>
  </r>
  <r>
    <s v="SHP-40040"/>
    <d v="2024-02-01T00:00:00"/>
    <x v="10"/>
    <x v="9"/>
    <n v="528"/>
    <x v="39"/>
    <d v="2024-02-02T00:00:00"/>
    <d v="2024-02-04T00:00:00"/>
    <s v="Local"/>
    <x v="3"/>
    <x v="1"/>
  </r>
  <r>
    <s v="SHP-40041"/>
    <d v="2025-01-14T00:00:00"/>
    <x v="4"/>
    <x v="7"/>
    <n v="3013"/>
    <x v="40"/>
    <d v="2025-01-15T00:00:00"/>
    <d v="2025-01-22T00:00:00"/>
    <s v="FedEx"/>
    <x v="1"/>
    <x v="1"/>
  </r>
  <r>
    <s v="SHP-40042"/>
    <d v="2024-04-29T00:00:00"/>
    <x v="10"/>
    <x v="0"/>
    <n v="2537"/>
    <x v="41"/>
    <d v="2024-05-01T00:00:00"/>
    <d v="2024-05-06T00:00:00"/>
    <s v="FedEx"/>
    <x v="1"/>
    <x v="1"/>
  </r>
  <r>
    <s v="SHP-40043"/>
    <d v="2024-07-06T00:00:00"/>
    <x v="12"/>
    <x v="4"/>
    <n v="2132"/>
    <x v="42"/>
    <d v="2024-07-08T00:00:00"/>
    <d v="2024-07-18T00:00:00"/>
    <s v="UPS"/>
    <x v="1"/>
    <x v="0"/>
  </r>
  <r>
    <s v="SHP-40044"/>
    <d v="2024-02-04T00:00:00"/>
    <x v="14"/>
    <x v="2"/>
    <n v="4707"/>
    <x v="43"/>
    <d v="2024-02-06T00:00:00"/>
    <d v="2024-02-19T00:00:00"/>
    <s v="Local"/>
    <x v="2"/>
    <x v="0"/>
  </r>
  <r>
    <s v="SHP-40045"/>
    <d v="2024-09-16T00:00:00"/>
    <x v="10"/>
    <x v="8"/>
    <n v="2852"/>
    <x v="44"/>
    <d v="2024-09-19T00:00:00"/>
    <d v="2024-10-15T00:00:00"/>
    <s v="FedEx"/>
    <x v="0"/>
    <x v="1"/>
  </r>
  <r>
    <s v="SHP-40046"/>
    <d v="2025-10-07T00:00:00"/>
    <x v="1"/>
    <x v="2"/>
    <n v="212"/>
    <x v="45"/>
    <d v="2025-10-10T00:00:00"/>
    <d v="2025-10-18T00:00:00"/>
    <s v="UPS"/>
    <x v="2"/>
    <x v="1"/>
  </r>
  <r>
    <s v="SHP-40047"/>
    <d v="2024-04-20T00:00:00"/>
    <x v="11"/>
    <x v="0"/>
    <n v="3503"/>
    <x v="46"/>
    <d v="2024-04-22T00:00:00"/>
    <d v="2024-04-28T00:00:00"/>
    <s v="DHL"/>
    <x v="1"/>
    <x v="1"/>
  </r>
  <r>
    <s v="SHP-40048"/>
    <d v="2025-08-20T00:00:00"/>
    <x v="1"/>
    <x v="6"/>
    <n v="1479"/>
    <x v="47"/>
    <d v="2025-08-23T00:00:00"/>
    <d v="2025-09-03T00:00:00"/>
    <s v="UPS"/>
    <x v="2"/>
    <x v="1"/>
  </r>
  <r>
    <s v="SHP-40049"/>
    <d v="2025-08-16T00:00:00"/>
    <x v="14"/>
    <x v="0"/>
    <n v="4176"/>
    <x v="48"/>
    <d v="2025-08-18T00:00:00"/>
    <d v="2025-09-06T00:00:00"/>
    <s v="UPS"/>
    <x v="0"/>
    <x v="1"/>
  </r>
  <r>
    <s v="SHP-40050"/>
    <d v="2024-11-12T00:00:00"/>
    <x v="1"/>
    <x v="8"/>
    <n v="3693"/>
    <x v="49"/>
    <d v="2024-11-15T00:00:00"/>
    <d v="2024-11-19T00:00:00"/>
    <s v="UPS"/>
    <x v="3"/>
    <x v="1"/>
  </r>
  <r>
    <s v="SHP-40051"/>
    <d v="2024-12-08T00:00:00"/>
    <x v="0"/>
    <x v="4"/>
    <n v="4926"/>
    <x v="50"/>
    <d v="2024-12-10T00:00:00"/>
    <d v="2024-12-15T00:00:00"/>
    <s v="FedEx"/>
    <x v="1"/>
    <x v="1"/>
  </r>
  <r>
    <s v="SHP-40052"/>
    <d v="2024-12-09T00:00:00"/>
    <x v="3"/>
    <x v="7"/>
    <n v="238"/>
    <x v="51"/>
    <d v="2024-12-11T00:00:00"/>
    <d v="2024-12-17T00:00:00"/>
    <s v="UPS"/>
    <x v="2"/>
    <x v="1"/>
  </r>
  <r>
    <s v="SHP-40053"/>
    <d v="2024-12-13T00:00:00"/>
    <x v="3"/>
    <x v="9"/>
    <n v="1161"/>
    <x v="52"/>
    <d v="2024-12-15T00:00:00"/>
    <d v="2024-12-20T00:00:00"/>
    <s v="DHL"/>
    <x v="3"/>
    <x v="1"/>
  </r>
  <r>
    <s v="SHP-40054"/>
    <d v="2024-05-12T00:00:00"/>
    <x v="5"/>
    <x v="2"/>
    <n v="2241"/>
    <x v="53"/>
    <d v="2024-05-15T00:00:00"/>
    <d v="2024-05-19T00:00:00"/>
    <s v="FedEx"/>
    <x v="3"/>
    <x v="1"/>
  </r>
  <r>
    <s v="SHP-40055"/>
    <d v="2025-03-29T00:00:00"/>
    <x v="2"/>
    <x v="2"/>
    <n v="4115"/>
    <x v="54"/>
    <d v="2025-03-30T00:00:00"/>
    <d v="2025-04-04T00:00:00"/>
    <s v="Local"/>
    <x v="1"/>
    <x v="1"/>
  </r>
  <r>
    <s v="SHP-40056"/>
    <d v="2025-03-26T00:00:00"/>
    <x v="12"/>
    <x v="6"/>
    <n v="4163"/>
    <x v="55"/>
    <d v="2025-03-29T00:00:00"/>
    <d v="2025-04-06T00:00:00"/>
    <s v="Local"/>
    <x v="1"/>
    <x v="1"/>
  </r>
  <r>
    <s v="SHP-40057"/>
    <d v="2025-05-18T00:00:00"/>
    <x v="4"/>
    <x v="3"/>
    <n v="1781"/>
    <x v="56"/>
    <d v="2025-05-20T00:00:00"/>
    <d v="2025-05-30T00:00:00"/>
    <s v="UPS"/>
    <x v="1"/>
    <x v="0"/>
  </r>
  <r>
    <s v="SHP-40058"/>
    <d v="2024-09-07T00:00:00"/>
    <x v="12"/>
    <x v="9"/>
    <n v="1976"/>
    <x v="57"/>
    <d v="2024-09-10T00:00:00"/>
    <d v="2024-09-12T00:00:00"/>
    <s v="UPS"/>
    <x v="3"/>
    <x v="1"/>
  </r>
  <r>
    <s v="SHP-40059"/>
    <d v="2025-01-11T00:00:00"/>
    <x v="8"/>
    <x v="6"/>
    <n v="1382"/>
    <x v="58"/>
    <d v="2025-01-12T00:00:00"/>
    <d v="2025-01-13T00:00:00"/>
    <s v="UPS"/>
    <x v="3"/>
    <x v="1"/>
  </r>
  <r>
    <s v="SHP-40060"/>
    <d v="2025-01-10T00:00:00"/>
    <x v="5"/>
    <x v="5"/>
    <n v="1218"/>
    <x v="59"/>
    <d v="2025-01-13T00:00:00"/>
    <d v="2025-01-18T00:00:00"/>
    <s v="DHL"/>
    <x v="3"/>
    <x v="1"/>
  </r>
  <r>
    <s v="SHP-40061"/>
    <d v="2024-08-16T00:00:00"/>
    <x v="6"/>
    <x v="7"/>
    <n v="3878"/>
    <x v="60"/>
    <d v="2024-08-17T00:00:00"/>
    <d v="2024-08-24T00:00:00"/>
    <s v="DHL"/>
    <x v="1"/>
    <x v="1"/>
  </r>
  <r>
    <s v="SHP-40062"/>
    <d v="2024-05-20T00:00:00"/>
    <x v="7"/>
    <x v="4"/>
    <n v="909"/>
    <x v="61"/>
    <d v="2024-05-22T00:00:00"/>
    <d v="2024-06-09T00:00:00"/>
    <s v="FedEx"/>
    <x v="0"/>
    <x v="1"/>
  </r>
  <r>
    <s v="SHP-40063"/>
    <d v="2024-11-16T00:00:00"/>
    <x v="10"/>
    <x v="5"/>
    <n v="3941"/>
    <x v="62"/>
    <d v="2024-11-18T00:00:00"/>
    <d v="2024-11-24T00:00:00"/>
    <s v="UPS"/>
    <x v="1"/>
    <x v="1"/>
  </r>
  <r>
    <s v="SHP-40064"/>
    <d v="2024-01-08T00:00:00"/>
    <x v="14"/>
    <x v="7"/>
    <n v="1526"/>
    <x v="63"/>
    <d v="2024-01-09T00:00:00"/>
    <d v="2024-01-11T00:00:00"/>
    <s v="DHL"/>
    <x v="1"/>
    <x v="1"/>
  </r>
  <r>
    <s v="SHP-40065"/>
    <d v="2025-04-04T00:00:00"/>
    <x v="8"/>
    <x v="4"/>
    <n v="826"/>
    <x v="64"/>
    <d v="2025-04-07T00:00:00"/>
    <d v="2025-04-21T00:00:00"/>
    <s v="Local"/>
    <x v="2"/>
    <x v="0"/>
  </r>
  <r>
    <s v="SHP-40066"/>
    <d v="2024-06-03T00:00:00"/>
    <x v="7"/>
    <x v="3"/>
    <n v="4297"/>
    <x v="65"/>
    <d v="2024-06-05T00:00:00"/>
    <d v="2024-06-11T00:00:00"/>
    <s v="FedEx"/>
    <x v="1"/>
    <x v="1"/>
  </r>
  <r>
    <s v="SHP-40067"/>
    <d v="2024-02-14T00:00:00"/>
    <x v="3"/>
    <x v="2"/>
    <n v="2445"/>
    <x v="66"/>
    <d v="2024-02-17T00:00:00"/>
    <d v="2024-02-27T00:00:00"/>
    <s v="FedEx"/>
    <x v="1"/>
    <x v="0"/>
  </r>
  <r>
    <s v="SHP-40068"/>
    <d v="2024-10-15T00:00:00"/>
    <x v="0"/>
    <x v="8"/>
    <n v="4519"/>
    <x v="67"/>
    <d v="2024-10-16T00:00:00"/>
    <d v="2024-11-17T00:00:00"/>
    <s v="Local"/>
    <x v="0"/>
    <x v="0"/>
  </r>
  <r>
    <s v="SHP-40069"/>
    <d v="2025-11-06T00:00:00"/>
    <x v="7"/>
    <x v="7"/>
    <n v="927"/>
    <x v="68"/>
    <d v="2025-11-09T00:00:00"/>
    <d v="2025-11-16T00:00:00"/>
    <s v="Local"/>
    <x v="1"/>
    <x v="1"/>
  </r>
  <r>
    <s v="SHP-40070"/>
    <d v="2024-10-24T00:00:00"/>
    <x v="6"/>
    <x v="9"/>
    <n v="1789"/>
    <x v="69"/>
    <d v="2024-10-27T00:00:00"/>
    <d v="2024-11-29T00:00:00"/>
    <s v="FedEx"/>
    <x v="0"/>
    <x v="0"/>
  </r>
  <r>
    <s v="SHP-40071"/>
    <d v="2025-06-08T00:00:00"/>
    <x v="4"/>
    <x v="2"/>
    <n v="4345"/>
    <x v="70"/>
    <d v="2025-06-10T00:00:00"/>
    <d v="2025-06-17T00:00:00"/>
    <s v="FedEx"/>
    <x v="1"/>
    <x v="1"/>
  </r>
  <r>
    <s v="SHP-40072"/>
    <d v="2024-12-15T00:00:00"/>
    <x v="5"/>
    <x v="6"/>
    <n v="139"/>
    <x v="71"/>
    <d v="2024-12-18T00:00:00"/>
    <d v="2024-12-21T00:00:00"/>
    <s v="FedEx"/>
    <x v="1"/>
    <x v="1"/>
  </r>
  <r>
    <s v="SHP-40073"/>
    <d v="2025-01-07T00:00:00"/>
    <x v="1"/>
    <x v="6"/>
    <n v="1071"/>
    <x v="72"/>
    <d v="2025-01-09T00:00:00"/>
    <d v="2025-01-11T00:00:00"/>
    <s v="DHL"/>
    <x v="1"/>
    <x v="1"/>
  </r>
  <r>
    <s v="SHP-40074"/>
    <d v="2024-06-18T00:00:00"/>
    <x v="9"/>
    <x v="3"/>
    <n v="3764"/>
    <x v="73"/>
    <d v="2024-06-21T00:00:00"/>
    <d v="2024-06-25T00:00:00"/>
    <s v="UPS"/>
    <x v="1"/>
    <x v="1"/>
  </r>
  <r>
    <s v="SHP-40075"/>
    <d v="2024-09-24T00:00:00"/>
    <x v="12"/>
    <x v="8"/>
    <n v="336"/>
    <x v="74"/>
    <d v="2024-09-26T00:00:00"/>
    <d v="2024-10-04T00:00:00"/>
    <s v="DHL"/>
    <x v="1"/>
    <x v="1"/>
  </r>
  <r>
    <s v="SHP-40076"/>
    <d v="2024-12-03T00:00:00"/>
    <x v="6"/>
    <x v="6"/>
    <n v="4778"/>
    <x v="75"/>
    <d v="2024-12-05T00:00:00"/>
    <d v="2024-12-11T00:00:00"/>
    <s v="UPS"/>
    <x v="1"/>
    <x v="1"/>
  </r>
  <r>
    <s v="SHP-40077"/>
    <d v="2024-05-24T00:00:00"/>
    <x v="13"/>
    <x v="0"/>
    <n v="1116"/>
    <x v="76"/>
    <d v="2024-05-27T00:00:00"/>
    <d v="2024-05-30T00:00:00"/>
    <s v="UPS"/>
    <x v="1"/>
    <x v="1"/>
  </r>
  <r>
    <s v="SHP-40078"/>
    <d v="2025-08-06T00:00:00"/>
    <x v="7"/>
    <x v="2"/>
    <n v="944"/>
    <x v="77"/>
    <d v="2025-08-07T00:00:00"/>
    <d v="2025-08-15T00:00:00"/>
    <s v="DHL"/>
    <x v="1"/>
    <x v="1"/>
  </r>
  <r>
    <s v="SHP-40079"/>
    <d v="2025-08-30T00:00:00"/>
    <x v="13"/>
    <x v="5"/>
    <n v="892"/>
    <x v="78"/>
    <d v="2025-09-01T00:00:00"/>
    <d v="2025-09-23T00:00:00"/>
    <s v="DHL"/>
    <x v="0"/>
    <x v="1"/>
  </r>
  <r>
    <s v="SHP-40080"/>
    <d v="2024-11-20T00:00:00"/>
    <x v="2"/>
    <x v="2"/>
    <n v="4153"/>
    <x v="79"/>
    <d v="2024-11-23T00:00:00"/>
    <d v="2024-11-29T00:00:00"/>
    <s v="DHL"/>
    <x v="1"/>
    <x v="1"/>
  </r>
  <r>
    <s v="SHP-40081"/>
    <d v="2024-12-26T00:00:00"/>
    <x v="3"/>
    <x v="3"/>
    <n v="2000"/>
    <x v="80"/>
    <d v="2024-12-28T00:00:00"/>
    <d v="2025-01-02T00:00:00"/>
    <s v="FedEx"/>
    <x v="3"/>
    <x v="1"/>
  </r>
  <r>
    <s v="SHP-40082"/>
    <d v="2024-10-10T00:00:00"/>
    <x v="12"/>
    <x v="4"/>
    <n v="2067"/>
    <x v="81"/>
    <d v="2024-10-12T00:00:00"/>
    <d v="2024-11-14T00:00:00"/>
    <s v="DHL"/>
    <x v="0"/>
    <x v="0"/>
  </r>
  <r>
    <s v="SHP-40083"/>
    <d v="2024-07-11T00:00:00"/>
    <x v="0"/>
    <x v="1"/>
    <n v="1661"/>
    <x v="82"/>
    <d v="2024-07-13T00:00:00"/>
    <d v="2024-07-15T00:00:00"/>
    <s v="Local"/>
    <x v="1"/>
    <x v="1"/>
  </r>
  <r>
    <s v="SHP-40084"/>
    <d v="2025-04-08T00:00:00"/>
    <x v="1"/>
    <x v="8"/>
    <n v="958"/>
    <x v="83"/>
    <d v="2025-04-09T00:00:00"/>
    <d v="2025-04-20T00:00:00"/>
    <s v="UPS"/>
    <x v="2"/>
    <x v="1"/>
  </r>
  <r>
    <s v="SHP-40085"/>
    <d v="2024-01-21T00:00:00"/>
    <x v="4"/>
    <x v="5"/>
    <n v="1694"/>
    <x v="84"/>
    <d v="2024-01-22T00:00:00"/>
    <d v="2024-02-06T00:00:00"/>
    <s v="UPS"/>
    <x v="2"/>
    <x v="0"/>
  </r>
  <r>
    <s v="SHP-40086"/>
    <d v="2024-10-11T00:00:00"/>
    <x v="14"/>
    <x v="7"/>
    <n v="1230"/>
    <x v="85"/>
    <d v="2024-10-12T00:00:00"/>
    <d v="2024-10-21T00:00:00"/>
    <s v="FedEx"/>
    <x v="1"/>
    <x v="0"/>
  </r>
  <r>
    <s v="SHP-40087"/>
    <d v="2025-11-02T00:00:00"/>
    <x v="8"/>
    <x v="0"/>
    <n v="2272"/>
    <x v="86"/>
    <d v="2025-11-04T00:00:00"/>
    <d v="2025-11-05T00:00:00"/>
    <s v="FedEx"/>
    <x v="3"/>
    <x v="1"/>
  </r>
  <r>
    <s v="SHP-40088"/>
    <d v="2025-03-17T00:00:00"/>
    <x v="13"/>
    <x v="4"/>
    <n v="2044"/>
    <x v="87"/>
    <d v="2025-03-19T00:00:00"/>
    <d v="2025-03-27T00:00:00"/>
    <s v="UPS"/>
    <x v="1"/>
    <x v="1"/>
  </r>
  <r>
    <s v="SHP-40089"/>
    <d v="2025-12-19T00:00:00"/>
    <x v="3"/>
    <x v="0"/>
    <n v="4352"/>
    <x v="88"/>
    <d v="2025-12-20T00:00:00"/>
    <d v="2025-12-23T00:00:00"/>
    <s v="DHL"/>
    <x v="1"/>
    <x v="1"/>
  </r>
  <r>
    <s v="SHP-40090"/>
    <d v="2024-05-13T00:00:00"/>
    <x v="9"/>
    <x v="2"/>
    <n v="2236"/>
    <x v="89"/>
    <d v="2024-05-16T00:00:00"/>
    <d v="2024-05-30T00:00:00"/>
    <s v="UPS"/>
    <x v="2"/>
    <x v="0"/>
  </r>
  <r>
    <s v="SHP-40091"/>
    <d v="2025-05-12T00:00:00"/>
    <x v="11"/>
    <x v="8"/>
    <n v="4691"/>
    <x v="90"/>
    <d v="2025-05-13T00:00:00"/>
    <d v="2025-05-17T00:00:00"/>
    <s v="UPS"/>
    <x v="3"/>
    <x v="1"/>
  </r>
  <r>
    <s v="SHP-40092"/>
    <d v="2024-04-15T00:00:00"/>
    <x v="13"/>
    <x v="8"/>
    <n v="726"/>
    <x v="91"/>
    <d v="2024-04-16T00:00:00"/>
    <d v="2024-04-18T00:00:00"/>
    <s v="UPS"/>
    <x v="1"/>
    <x v="1"/>
  </r>
  <r>
    <s v="SHP-40093"/>
    <d v="2025-02-06T00:00:00"/>
    <x v="0"/>
    <x v="1"/>
    <n v="4385"/>
    <x v="92"/>
    <d v="2025-02-07T00:00:00"/>
    <d v="2025-02-11T00:00:00"/>
    <s v="Local"/>
    <x v="3"/>
    <x v="1"/>
  </r>
  <r>
    <s v="SHP-40094"/>
    <d v="2025-04-10T00:00:00"/>
    <x v="1"/>
    <x v="8"/>
    <n v="3963"/>
    <x v="93"/>
    <d v="2025-04-13T00:00:00"/>
    <d v="2025-04-21T00:00:00"/>
    <s v="Local"/>
    <x v="1"/>
    <x v="1"/>
  </r>
  <r>
    <s v="SHP-40095"/>
    <d v="2025-11-19T00:00:00"/>
    <x v="5"/>
    <x v="9"/>
    <n v="3370"/>
    <x v="94"/>
    <d v="2025-11-21T00:00:00"/>
    <d v="2025-12-01T00:00:00"/>
    <s v="Local"/>
    <x v="1"/>
    <x v="0"/>
  </r>
  <r>
    <s v="SHP-40096"/>
    <d v="2025-02-26T00:00:00"/>
    <x v="4"/>
    <x v="3"/>
    <n v="1095"/>
    <x v="95"/>
    <d v="2025-03-01T00:00:00"/>
    <d v="2025-03-06T00:00:00"/>
    <s v="UPS"/>
    <x v="3"/>
    <x v="1"/>
  </r>
  <r>
    <s v="SHP-40097"/>
    <d v="2025-04-17T00:00:00"/>
    <x v="6"/>
    <x v="9"/>
    <n v="3225"/>
    <x v="96"/>
    <d v="2025-04-18T00:00:00"/>
    <d v="2025-04-25T00:00:00"/>
    <s v="FedEx"/>
    <x v="1"/>
    <x v="1"/>
  </r>
  <r>
    <s v="SHP-40098"/>
    <d v="2024-05-09T00:00:00"/>
    <x v="12"/>
    <x v="0"/>
    <n v="1712"/>
    <x v="97"/>
    <d v="2024-05-10T00:00:00"/>
    <d v="2024-05-12T00:00:00"/>
    <s v="UPS"/>
    <x v="1"/>
    <x v="1"/>
  </r>
  <r>
    <s v="SHP-40099"/>
    <d v="2025-06-28T00:00:00"/>
    <x v="2"/>
    <x v="0"/>
    <n v="658"/>
    <x v="98"/>
    <d v="2025-06-30T00:00:00"/>
    <d v="2025-07-05T00:00:00"/>
    <s v="UPS"/>
    <x v="3"/>
    <x v="1"/>
  </r>
  <r>
    <s v="SHP-40100"/>
    <d v="2025-03-05T00:00:00"/>
    <x v="11"/>
    <x v="6"/>
    <n v="2678"/>
    <x v="99"/>
    <d v="2025-03-08T00:00:00"/>
    <d v="2025-03-16T00:00:00"/>
    <s v="DHL"/>
    <x v="2"/>
    <x v="1"/>
  </r>
  <r>
    <s v="SHP-40101"/>
    <d v="2024-11-24T00:00:00"/>
    <x v="4"/>
    <x v="0"/>
    <n v="3039"/>
    <x v="100"/>
    <d v="2024-11-25T00:00:00"/>
    <d v="2024-11-30T00:00:00"/>
    <s v="DHL"/>
    <x v="2"/>
    <x v="1"/>
  </r>
  <r>
    <s v="SHP-40102"/>
    <d v="2025-04-11T00:00:00"/>
    <x v="8"/>
    <x v="8"/>
    <n v="896"/>
    <x v="101"/>
    <d v="2025-04-14T00:00:00"/>
    <d v="2025-04-17T00:00:00"/>
    <s v="FedEx"/>
    <x v="1"/>
    <x v="1"/>
  </r>
  <r>
    <s v="SHP-40103"/>
    <d v="2024-08-24T00:00:00"/>
    <x v="6"/>
    <x v="4"/>
    <n v="2305"/>
    <x v="102"/>
    <d v="2024-08-27T00:00:00"/>
    <d v="2024-09-06T00:00:00"/>
    <s v="DHL"/>
    <x v="1"/>
    <x v="0"/>
  </r>
  <r>
    <s v="SHP-40104"/>
    <d v="2025-10-05T00:00:00"/>
    <x v="2"/>
    <x v="4"/>
    <n v="4792"/>
    <x v="103"/>
    <d v="2025-10-07T00:00:00"/>
    <d v="2025-10-20T00:00:00"/>
    <s v="Local"/>
    <x v="2"/>
    <x v="0"/>
  </r>
  <r>
    <s v="SHP-40105"/>
    <d v="2024-12-22T00:00:00"/>
    <x v="1"/>
    <x v="9"/>
    <n v="2716"/>
    <x v="104"/>
    <d v="2024-12-24T00:00:00"/>
    <d v="2024-12-27T00:00:00"/>
    <s v="Local"/>
    <x v="3"/>
    <x v="1"/>
  </r>
  <r>
    <s v="SHP-40106"/>
    <d v="2024-09-09T00:00:00"/>
    <x v="10"/>
    <x v="0"/>
    <n v="698"/>
    <x v="105"/>
    <d v="2024-09-10T00:00:00"/>
    <d v="2024-09-20T00:00:00"/>
    <s v="FedEx"/>
    <x v="1"/>
    <x v="0"/>
  </r>
  <r>
    <s v="SHP-40107"/>
    <d v="2024-11-14T00:00:00"/>
    <x v="3"/>
    <x v="8"/>
    <n v="4062"/>
    <x v="106"/>
    <d v="2024-11-17T00:00:00"/>
    <d v="2024-11-21T00:00:00"/>
    <s v="DHL"/>
    <x v="1"/>
    <x v="1"/>
  </r>
  <r>
    <s v="SHP-40108"/>
    <d v="2024-08-08T00:00:00"/>
    <x v="6"/>
    <x v="7"/>
    <n v="1348"/>
    <x v="107"/>
    <d v="2024-08-11T00:00:00"/>
    <d v="2024-08-13T00:00:00"/>
    <s v="FedEx"/>
    <x v="1"/>
    <x v="1"/>
  </r>
  <r>
    <s v="SHP-40109"/>
    <d v="2024-08-12T00:00:00"/>
    <x v="2"/>
    <x v="8"/>
    <n v="2785"/>
    <x v="108"/>
    <d v="2024-08-14T00:00:00"/>
    <d v="2024-09-06T00:00:00"/>
    <s v="FedEx"/>
    <x v="0"/>
    <x v="1"/>
  </r>
  <r>
    <s v="SHP-40110"/>
    <d v="2024-04-06T00:00:00"/>
    <x v="13"/>
    <x v="3"/>
    <n v="1447"/>
    <x v="109"/>
    <d v="2024-04-08T00:00:00"/>
    <d v="2024-04-11T00:00:00"/>
    <s v="FedEx"/>
    <x v="1"/>
    <x v="1"/>
  </r>
  <r>
    <s v="SHP-40111"/>
    <d v="2024-04-01T00:00:00"/>
    <x v="13"/>
    <x v="9"/>
    <n v="1583"/>
    <x v="110"/>
    <d v="2024-04-04T00:00:00"/>
    <d v="2024-04-08T00:00:00"/>
    <s v="FedEx"/>
    <x v="1"/>
    <x v="1"/>
  </r>
  <r>
    <s v="SHP-40112"/>
    <d v="2024-05-15T00:00:00"/>
    <x v="1"/>
    <x v="0"/>
    <n v="3003"/>
    <x v="111"/>
    <d v="2024-05-17T00:00:00"/>
    <d v="2024-05-27T00:00:00"/>
    <s v="DHL"/>
    <x v="1"/>
    <x v="0"/>
  </r>
  <r>
    <s v="SHP-40113"/>
    <d v="2025-12-25T00:00:00"/>
    <x v="6"/>
    <x v="3"/>
    <n v="2156"/>
    <x v="112"/>
    <d v="2025-12-28T00:00:00"/>
    <d v="2026-01-02T00:00:00"/>
    <s v="Local"/>
    <x v="1"/>
    <x v="1"/>
  </r>
  <r>
    <s v="SHP-40114"/>
    <d v="2024-06-25T00:00:00"/>
    <x v="7"/>
    <x v="0"/>
    <n v="847"/>
    <x v="113"/>
    <d v="2024-06-26T00:00:00"/>
    <d v="2024-07-02T00:00:00"/>
    <s v="FedEx"/>
    <x v="1"/>
    <x v="1"/>
  </r>
  <r>
    <s v="SHP-40115"/>
    <d v="2025-08-11T00:00:00"/>
    <x v="8"/>
    <x v="7"/>
    <n v="2186"/>
    <x v="114"/>
    <d v="2025-08-13T00:00:00"/>
    <d v="2025-08-19T00:00:00"/>
    <s v="Local"/>
    <x v="1"/>
    <x v="1"/>
  </r>
  <r>
    <s v="SHP-40116"/>
    <d v="2024-02-01T00:00:00"/>
    <x v="4"/>
    <x v="4"/>
    <n v="4989"/>
    <x v="115"/>
    <d v="2024-02-02T00:00:00"/>
    <d v="2024-02-12T00:00:00"/>
    <s v="Local"/>
    <x v="1"/>
    <x v="0"/>
  </r>
  <r>
    <s v="SHP-40117"/>
    <d v="2024-01-26T00:00:00"/>
    <x v="2"/>
    <x v="0"/>
    <n v="820"/>
    <x v="116"/>
    <d v="2024-01-29T00:00:00"/>
    <d v="2024-03-02T00:00:00"/>
    <s v="UPS"/>
    <x v="0"/>
    <x v="0"/>
  </r>
  <r>
    <s v="SHP-40118"/>
    <d v="2024-08-24T00:00:00"/>
    <x v="7"/>
    <x v="6"/>
    <n v="344"/>
    <x v="117"/>
    <d v="2024-08-27T00:00:00"/>
    <d v="2024-09-17T00:00:00"/>
    <s v="UPS"/>
    <x v="0"/>
    <x v="1"/>
  </r>
  <r>
    <s v="SHP-40119"/>
    <d v="2025-08-11T00:00:00"/>
    <x v="0"/>
    <x v="6"/>
    <n v="3300"/>
    <x v="118"/>
    <d v="2025-08-13T00:00:00"/>
    <d v="2025-08-16T00:00:00"/>
    <s v="FedEx"/>
    <x v="1"/>
    <x v="1"/>
  </r>
  <r>
    <s v="SHP-40120"/>
    <d v="2025-11-02T00:00:00"/>
    <x v="1"/>
    <x v="1"/>
    <n v="4902"/>
    <x v="119"/>
    <d v="2025-11-03T00:00:00"/>
    <d v="2025-11-28T00:00:00"/>
    <s v="Local"/>
    <x v="0"/>
    <x v="1"/>
  </r>
  <r>
    <s v="SHP-40121"/>
    <d v="2024-09-02T00:00:00"/>
    <x v="6"/>
    <x v="2"/>
    <n v="3890"/>
    <x v="120"/>
    <d v="2024-09-05T00:00:00"/>
    <d v="2024-09-18T00:00:00"/>
    <s v="FedEx"/>
    <x v="2"/>
    <x v="0"/>
  </r>
  <r>
    <s v="SHP-40122"/>
    <d v="2025-12-12T00:00:00"/>
    <x v="1"/>
    <x v="0"/>
    <n v="4255"/>
    <x v="121"/>
    <d v="2025-12-13T00:00:00"/>
    <d v="2025-12-15T00:00:00"/>
    <s v="Local"/>
    <x v="1"/>
    <x v="1"/>
  </r>
  <r>
    <s v="SHP-40123"/>
    <d v="2025-07-15T00:00:00"/>
    <x v="10"/>
    <x v="3"/>
    <n v="3493"/>
    <x v="122"/>
    <d v="2025-07-18T00:00:00"/>
    <d v="2025-07-23T00:00:00"/>
    <s v="UPS"/>
    <x v="3"/>
    <x v="1"/>
  </r>
  <r>
    <s v="SHP-40124"/>
    <d v="2025-12-16T00:00:00"/>
    <x v="8"/>
    <x v="9"/>
    <n v="1275"/>
    <x v="123"/>
    <d v="2025-12-18T00:00:00"/>
    <d v="2026-01-02T00:00:00"/>
    <s v="UPS"/>
    <x v="2"/>
    <x v="0"/>
  </r>
  <r>
    <s v="SHP-40125"/>
    <d v="2024-09-15T00:00:00"/>
    <x v="11"/>
    <x v="3"/>
    <n v="3689"/>
    <x v="124"/>
    <d v="2024-09-18T00:00:00"/>
    <d v="2024-09-19T00:00:00"/>
    <s v="FedEx"/>
    <x v="3"/>
    <x v="1"/>
  </r>
  <r>
    <s v="SHP-40126"/>
    <d v="2025-01-15T00:00:00"/>
    <x v="1"/>
    <x v="0"/>
    <n v="484"/>
    <x v="125"/>
    <d v="2025-01-17T00:00:00"/>
    <d v="2025-01-19T00:00:00"/>
    <s v="FedEx"/>
    <x v="1"/>
    <x v="1"/>
  </r>
  <r>
    <s v="SHP-40127"/>
    <d v="2025-01-27T00:00:00"/>
    <x v="11"/>
    <x v="0"/>
    <n v="3426"/>
    <x v="126"/>
    <d v="2025-01-29T00:00:00"/>
    <d v="2025-02-07T00:00:00"/>
    <s v="DHL"/>
    <x v="2"/>
    <x v="1"/>
  </r>
  <r>
    <s v="SHP-40128"/>
    <d v="2024-04-30T00:00:00"/>
    <x v="11"/>
    <x v="9"/>
    <n v="4819"/>
    <x v="127"/>
    <d v="2024-05-03T00:00:00"/>
    <d v="2024-05-05T00:00:00"/>
    <s v="DHL"/>
    <x v="3"/>
    <x v="1"/>
  </r>
  <r>
    <s v="SHP-40129"/>
    <d v="2025-04-18T00:00:00"/>
    <x v="1"/>
    <x v="4"/>
    <n v="2634"/>
    <x v="128"/>
    <d v="2025-04-19T00:00:00"/>
    <d v="2025-04-21T00:00:00"/>
    <s v="UPS"/>
    <x v="3"/>
    <x v="1"/>
  </r>
  <r>
    <s v="SHP-40130"/>
    <d v="2024-01-05T00:00:00"/>
    <x v="1"/>
    <x v="1"/>
    <n v="2786"/>
    <x v="129"/>
    <d v="2024-01-06T00:00:00"/>
    <d v="2024-01-09T00:00:00"/>
    <s v="FedEx"/>
    <x v="1"/>
    <x v="1"/>
  </r>
  <r>
    <s v="SHP-40131"/>
    <d v="2024-11-17T00:00:00"/>
    <x v="4"/>
    <x v="0"/>
    <n v="245"/>
    <x v="130"/>
    <d v="2024-11-19T00:00:00"/>
    <d v="2024-11-25T00:00:00"/>
    <s v="FedEx"/>
    <x v="1"/>
    <x v="1"/>
  </r>
  <r>
    <s v="SHP-40132"/>
    <d v="2024-01-01T00:00:00"/>
    <x v="4"/>
    <x v="9"/>
    <n v="669"/>
    <x v="131"/>
    <d v="2024-01-03T00:00:00"/>
    <d v="2024-01-10T00:00:00"/>
    <s v="DHL"/>
    <x v="2"/>
    <x v="1"/>
  </r>
  <r>
    <s v="SHP-40133"/>
    <d v="2024-09-15T00:00:00"/>
    <x v="8"/>
    <x v="8"/>
    <n v="1214"/>
    <x v="132"/>
    <d v="2024-09-16T00:00:00"/>
    <d v="2024-09-19T00:00:00"/>
    <s v="FedEx"/>
    <x v="3"/>
    <x v="1"/>
  </r>
  <r>
    <s v="SHP-40134"/>
    <d v="2025-02-26T00:00:00"/>
    <x v="11"/>
    <x v="9"/>
    <n v="1165"/>
    <x v="133"/>
    <d v="2025-02-27T00:00:00"/>
    <d v="2025-03-26T00:00:00"/>
    <s v="FedEx"/>
    <x v="0"/>
    <x v="1"/>
  </r>
  <r>
    <s v="SHP-40135"/>
    <d v="2024-02-26T00:00:00"/>
    <x v="4"/>
    <x v="6"/>
    <n v="120"/>
    <x v="134"/>
    <d v="2024-02-29T00:00:00"/>
    <d v="2024-03-03T00:00:00"/>
    <s v="Local"/>
    <x v="1"/>
    <x v="1"/>
  </r>
  <r>
    <s v="SHP-40136"/>
    <d v="2025-09-25T00:00:00"/>
    <x v="6"/>
    <x v="6"/>
    <n v="810"/>
    <x v="135"/>
    <d v="2025-09-26T00:00:00"/>
    <d v="2025-10-06T00:00:00"/>
    <s v="Local"/>
    <x v="2"/>
    <x v="1"/>
  </r>
  <r>
    <s v="SHP-40137"/>
    <d v="2024-09-08T00:00:00"/>
    <x v="5"/>
    <x v="1"/>
    <n v="1357"/>
    <x v="136"/>
    <d v="2024-09-10T00:00:00"/>
    <d v="2024-09-22T00:00:00"/>
    <s v="UPS"/>
    <x v="2"/>
    <x v="1"/>
  </r>
  <r>
    <s v="SHP-40138"/>
    <d v="2025-06-27T00:00:00"/>
    <x v="4"/>
    <x v="6"/>
    <n v="2653"/>
    <x v="137"/>
    <d v="2025-06-30T00:00:00"/>
    <d v="2025-07-02T00:00:00"/>
    <s v="FedEx"/>
    <x v="3"/>
    <x v="1"/>
  </r>
  <r>
    <s v="SHP-40139"/>
    <d v="2024-02-04T00:00:00"/>
    <x v="11"/>
    <x v="5"/>
    <n v="56"/>
    <x v="138"/>
    <d v="2024-02-06T00:00:00"/>
    <d v="2024-02-14T00:00:00"/>
    <s v="Local"/>
    <x v="1"/>
    <x v="1"/>
  </r>
  <r>
    <s v="SHP-40140"/>
    <d v="2024-09-01T00:00:00"/>
    <x v="9"/>
    <x v="7"/>
    <n v="2743"/>
    <x v="139"/>
    <d v="2024-09-04T00:00:00"/>
    <d v="2024-09-14T00:00:00"/>
    <s v="DHL"/>
    <x v="1"/>
    <x v="0"/>
  </r>
  <r>
    <s v="SHP-40141"/>
    <d v="2024-03-10T00:00:00"/>
    <x v="8"/>
    <x v="1"/>
    <n v="1862"/>
    <x v="140"/>
    <d v="2024-03-12T00:00:00"/>
    <d v="2024-03-17T00:00:00"/>
    <s v="UPS"/>
    <x v="1"/>
    <x v="1"/>
  </r>
  <r>
    <s v="SHP-40142"/>
    <d v="2024-04-28T00:00:00"/>
    <x v="6"/>
    <x v="3"/>
    <n v="1610"/>
    <x v="141"/>
    <d v="2024-04-29T00:00:00"/>
    <d v="2024-05-04T00:00:00"/>
    <s v="Local"/>
    <x v="3"/>
    <x v="1"/>
  </r>
  <r>
    <s v="SHP-40143"/>
    <d v="2024-06-01T00:00:00"/>
    <x v="3"/>
    <x v="2"/>
    <n v="1105"/>
    <x v="142"/>
    <d v="2024-06-04T00:00:00"/>
    <d v="2024-06-07T00:00:00"/>
    <s v="Local"/>
    <x v="3"/>
    <x v="1"/>
  </r>
  <r>
    <s v="SHP-40144"/>
    <d v="2024-09-23T00:00:00"/>
    <x v="2"/>
    <x v="6"/>
    <n v="1061"/>
    <x v="143"/>
    <d v="2024-09-26T00:00:00"/>
    <d v="2024-09-30T00:00:00"/>
    <s v="UPS"/>
    <x v="3"/>
    <x v="1"/>
  </r>
  <r>
    <s v="SHP-40145"/>
    <d v="2025-01-12T00:00:00"/>
    <x v="12"/>
    <x v="0"/>
    <n v="3766"/>
    <x v="144"/>
    <d v="2025-01-13T00:00:00"/>
    <d v="2025-01-16T00:00:00"/>
    <s v="FedEx"/>
    <x v="1"/>
    <x v="1"/>
  </r>
  <r>
    <s v="SHP-40146"/>
    <d v="2025-12-08T00:00:00"/>
    <x v="10"/>
    <x v="2"/>
    <n v="4376"/>
    <x v="145"/>
    <d v="2025-12-10T00:00:00"/>
    <d v="2025-12-21T00:00:00"/>
    <s v="FedEx"/>
    <x v="2"/>
    <x v="1"/>
  </r>
  <r>
    <s v="SHP-40147"/>
    <d v="2024-10-20T00:00:00"/>
    <x v="13"/>
    <x v="0"/>
    <n v="1610"/>
    <x v="146"/>
    <d v="2024-10-22T00:00:00"/>
    <d v="2024-10-30T00:00:00"/>
    <s v="FedEx"/>
    <x v="1"/>
    <x v="1"/>
  </r>
  <r>
    <s v="SHP-40148"/>
    <d v="2024-12-17T00:00:00"/>
    <x v="7"/>
    <x v="2"/>
    <n v="243"/>
    <x v="147"/>
    <d v="2024-12-19T00:00:00"/>
    <d v="2025-01-02T00:00:00"/>
    <s v="DHL"/>
    <x v="0"/>
    <x v="1"/>
  </r>
  <r>
    <s v="SHP-40149"/>
    <d v="2024-07-26T00:00:00"/>
    <x v="5"/>
    <x v="2"/>
    <n v="4806"/>
    <x v="148"/>
    <d v="2024-07-29T00:00:00"/>
    <d v="2024-08-07T00:00:00"/>
    <s v="DHL"/>
    <x v="1"/>
    <x v="0"/>
  </r>
  <r>
    <s v="SHP-40150"/>
    <d v="2025-08-17T00:00:00"/>
    <x v="9"/>
    <x v="1"/>
    <n v="4796"/>
    <x v="149"/>
    <d v="2025-08-19T00:00:00"/>
    <d v="2025-08-23T00:00:00"/>
    <s v="UPS"/>
    <x v="1"/>
    <x v="1"/>
  </r>
  <r>
    <s v="SHP-40151"/>
    <d v="2025-06-29T00:00:00"/>
    <x v="3"/>
    <x v="3"/>
    <n v="171"/>
    <x v="150"/>
    <d v="2025-06-30T00:00:00"/>
    <d v="2025-07-03T00:00:00"/>
    <s v="UPS"/>
    <x v="1"/>
    <x v="1"/>
  </r>
  <r>
    <s v="SHP-40152"/>
    <d v="2024-06-11T00:00:00"/>
    <x v="10"/>
    <x v="0"/>
    <n v="3158"/>
    <x v="151"/>
    <d v="2024-06-14T00:00:00"/>
    <d v="2024-06-19T00:00:00"/>
    <s v="DHL"/>
    <x v="1"/>
    <x v="1"/>
  </r>
  <r>
    <s v="SHP-40153"/>
    <d v="2024-10-13T00:00:00"/>
    <x v="8"/>
    <x v="5"/>
    <n v="3358"/>
    <x v="152"/>
    <d v="2024-10-15T00:00:00"/>
    <d v="2024-10-17T00:00:00"/>
    <s v="FedEx"/>
    <x v="3"/>
    <x v="1"/>
  </r>
  <r>
    <s v="SHP-40154"/>
    <d v="2024-02-11T00:00:00"/>
    <x v="2"/>
    <x v="4"/>
    <n v="3035"/>
    <x v="153"/>
    <d v="2024-02-14T00:00:00"/>
    <d v="2024-02-15T00:00:00"/>
    <s v="DHL"/>
    <x v="3"/>
    <x v="1"/>
  </r>
  <r>
    <s v="SHP-40155"/>
    <d v="2025-11-10T00:00:00"/>
    <x v="13"/>
    <x v="3"/>
    <n v="4380"/>
    <x v="154"/>
    <d v="2025-11-13T00:00:00"/>
    <d v="2025-11-20T00:00:00"/>
    <s v="Local"/>
    <x v="1"/>
    <x v="1"/>
  </r>
  <r>
    <s v="SHP-40156"/>
    <d v="2024-11-27T00:00:00"/>
    <x v="0"/>
    <x v="9"/>
    <n v="937"/>
    <x v="155"/>
    <d v="2024-11-29T00:00:00"/>
    <d v="2024-12-03T00:00:00"/>
    <s v="UPS"/>
    <x v="3"/>
    <x v="1"/>
  </r>
  <r>
    <s v="SHP-40157"/>
    <d v="2024-01-10T00:00:00"/>
    <x v="7"/>
    <x v="6"/>
    <n v="3477"/>
    <x v="156"/>
    <d v="2024-01-12T00:00:00"/>
    <d v="2024-01-13T00:00:00"/>
    <s v="Local"/>
    <x v="3"/>
    <x v="1"/>
  </r>
  <r>
    <s v="SHP-40158"/>
    <d v="2025-09-10T00:00:00"/>
    <x v="7"/>
    <x v="4"/>
    <n v="1629"/>
    <x v="157"/>
    <d v="2025-09-11T00:00:00"/>
    <d v="2025-10-03T00:00:00"/>
    <s v="DHL"/>
    <x v="0"/>
    <x v="1"/>
  </r>
  <r>
    <s v="SHP-40159"/>
    <d v="2024-03-12T00:00:00"/>
    <x v="0"/>
    <x v="2"/>
    <n v="2642"/>
    <x v="158"/>
    <d v="2024-03-14T00:00:00"/>
    <d v="2024-03-28T00:00:00"/>
    <s v="FedEx"/>
    <x v="2"/>
    <x v="0"/>
  </r>
  <r>
    <s v="SHP-40160"/>
    <d v="2024-10-07T00:00:00"/>
    <x v="1"/>
    <x v="3"/>
    <n v="1108"/>
    <x v="159"/>
    <d v="2024-10-08T00:00:00"/>
    <d v="2024-10-15T00:00:00"/>
    <s v="DHL"/>
    <x v="2"/>
    <x v="1"/>
  </r>
  <r>
    <s v="SHP-40161"/>
    <d v="2025-09-10T00:00:00"/>
    <x v="4"/>
    <x v="6"/>
    <n v="3982"/>
    <x v="160"/>
    <d v="2025-09-13T00:00:00"/>
    <d v="2025-09-15T00:00:00"/>
    <s v="DHL"/>
    <x v="1"/>
    <x v="1"/>
  </r>
  <r>
    <s v="SHP-40162"/>
    <d v="2024-01-16T00:00:00"/>
    <x v="14"/>
    <x v="9"/>
    <n v="3793"/>
    <x v="161"/>
    <d v="2024-01-18T00:00:00"/>
    <d v="2024-01-28T00:00:00"/>
    <s v="FedEx"/>
    <x v="1"/>
    <x v="0"/>
  </r>
  <r>
    <s v="SHP-40163"/>
    <d v="2024-07-15T00:00:00"/>
    <x v="2"/>
    <x v="3"/>
    <n v="2437"/>
    <x v="162"/>
    <d v="2024-07-16T00:00:00"/>
    <d v="2024-07-21T00:00:00"/>
    <s v="FedEx"/>
    <x v="1"/>
    <x v="1"/>
  </r>
  <r>
    <s v="SHP-40164"/>
    <d v="2024-09-03T00:00:00"/>
    <x v="4"/>
    <x v="7"/>
    <n v="2351"/>
    <x v="163"/>
    <d v="2024-09-04T00:00:00"/>
    <d v="2024-09-09T00:00:00"/>
    <s v="FedEx"/>
    <x v="1"/>
    <x v="1"/>
  </r>
  <r>
    <s v="SHP-40165"/>
    <d v="2025-02-10T00:00:00"/>
    <x v="6"/>
    <x v="9"/>
    <n v="666"/>
    <x v="164"/>
    <d v="2025-02-11T00:00:00"/>
    <d v="2025-02-17T00:00:00"/>
    <s v="UPS"/>
    <x v="1"/>
    <x v="1"/>
  </r>
  <r>
    <s v="SHP-40166"/>
    <d v="2024-01-25T00:00:00"/>
    <x v="1"/>
    <x v="8"/>
    <n v="359"/>
    <x v="165"/>
    <d v="2024-01-27T00:00:00"/>
    <d v="2024-02-06T00:00:00"/>
    <s v="DHL"/>
    <x v="1"/>
    <x v="0"/>
  </r>
  <r>
    <s v="SHP-40167"/>
    <d v="2024-10-10T00:00:00"/>
    <x v="4"/>
    <x v="3"/>
    <n v="4996"/>
    <x v="166"/>
    <d v="2024-10-13T00:00:00"/>
    <d v="2024-10-22T00:00:00"/>
    <s v="FedEx"/>
    <x v="1"/>
    <x v="0"/>
  </r>
  <r>
    <s v="SHP-40168"/>
    <d v="2025-04-10T00:00:00"/>
    <x v="4"/>
    <x v="1"/>
    <n v="174"/>
    <x v="167"/>
    <d v="2025-04-13T00:00:00"/>
    <d v="2025-04-22T00:00:00"/>
    <s v="DHL"/>
    <x v="1"/>
    <x v="0"/>
  </r>
  <r>
    <s v="SHP-40169"/>
    <d v="2025-12-21T00:00:00"/>
    <x v="14"/>
    <x v="6"/>
    <n v="2021"/>
    <x v="168"/>
    <d v="2025-12-23T00:00:00"/>
    <d v="2025-12-25T00:00:00"/>
    <s v="UPS"/>
    <x v="3"/>
    <x v="1"/>
  </r>
  <r>
    <s v="SHP-40170"/>
    <d v="2024-09-23T00:00:00"/>
    <x v="8"/>
    <x v="6"/>
    <n v="2800"/>
    <x v="169"/>
    <d v="2024-09-25T00:00:00"/>
    <d v="2024-09-29T00:00:00"/>
    <s v="Local"/>
    <x v="1"/>
    <x v="1"/>
  </r>
  <r>
    <s v="SHP-40171"/>
    <d v="2024-11-07T00:00:00"/>
    <x v="4"/>
    <x v="8"/>
    <n v="2279"/>
    <x v="170"/>
    <d v="2024-11-09T00:00:00"/>
    <d v="2024-11-13T00:00:00"/>
    <s v="FedEx"/>
    <x v="3"/>
    <x v="1"/>
  </r>
  <r>
    <s v="SHP-40172"/>
    <d v="2024-04-26T00:00:00"/>
    <x v="6"/>
    <x v="0"/>
    <n v="4264"/>
    <x v="171"/>
    <d v="2024-04-29T00:00:00"/>
    <d v="2024-05-06T00:00:00"/>
    <s v="DHL"/>
    <x v="1"/>
    <x v="1"/>
  </r>
  <r>
    <s v="SHP-40173"/>
    <d v="2024-06-19T00:00:00"/>
    <x v="11"/>
    <x v="3"/>
    <n v="227"/>
    <x v="172"/>
    <d v="2024-06-22T00:00:00"/>
    <d v="2024-06-29T00:00:00"/>
    <s v="DHL"/>
    <x v="1"/>
    <x v="1"/>
  </r>
  <r>
    <s v="SHP-40174"/>
    <d v="2024-03-27T00:00:00"/>
    <x v="12"/>
    <x v="9"/>
    <n v="1399"/>
    <x v="173"/>
    <d v="2024-03-30T00:00:00"/>
    <d v="2024-04-11T00:00:00"/>
    <s v="FedEx"/>
    <x v="2"/>
    <x v="1"/>
  </r>
  <r>
    <s v="SHP-40175"/>
    <d v="2024-04-23T00:00:00"/>
    <x v="7"/>
    <x v="8"/>
    <n v="3489"/>
    <x v="174"/>
    <d v="2024-04-25T00:00:00"/>
    <d v="2024-04-27T00:00:00"/>
    <s v="UPS"/>
    <x v="1"/>
    <x v="1"/>
  </r>
  <r>
    <s v="SHP-40176"/>
    <d v="2024-10-10T00:00:00"/>
    <x v="10"/>
    <x v="2"/>
    <n v="4557"/>
    <x v="175"/>
    <d v="2024-10-12T00:00:00"/>
    <d v="2024-10-15T00:00:00"/>
    <s v="DHL"/>
    <x v="1"/>
    <x v="1"/>
  </r>
  <r>
    <s v="SHP-40177"/>
    <d v="2025-08-01T00:00:00"/>
    <x v="11"/>
    <x v="1"/>
    <n v="99"/>
    <x v="176"/>
    <d v="2025-08-04T00:00:00"/>
    <d v="2025-08-08T00:00:00"/>
    <s v="Local"/>
    <x v="1"/>
    <x v="1"/>
  </r>
  <r>
    <s v="SHP-40178"/>
    <d v="2025-06-30T00:00:00"/>
    <x v="5"/>
    <x v="7"/>
    <n v="3351"/>
    <x v="177"/>
    <d v="2025-07-02T00:00:00"/>
    <d v="2025-08-07T00:00:00"/>
    <s v="UPS"/>
    <x v="0"/>
    <x v="0"/>
  </r>
  <r>
    <s v="SHP-40179"/>
    <d v="2024-12-31T00:00:00"/>
    <x v="5"/>
    <x v="1"/>
    <n v="4791"/>
    <x v="178"/>
    <d v="2025-01-01T00:00:00"/>
    <d v="2025-01-08T00:00:00"/>
    <s v="UPS"/>
    <x v="1"/>
    <x v="1"/>
  </r>
  <r>
    <s v="SHP-40180"/>
    <d v="2024-02-19T00:00:00"/>
    <x v="11"/>
    <x v="3"/>
    <n v="4035"/>
    <x v="179"/>
    <d v="2024-02-22T00:00:00"/>
    <d v="2024-03-07T00:00:00"/>
    <s v="UPS"/>
    <x v="2"/>
    <x v="0"/>
  </r>
  <r>
    <s v="SHP-40181"/>
    <d v="2024-08-28T00:00:00"/>
    <x v="0"/>
    <x v="3"/>
    <n v="345"/>
    <x v="180"/>
    <d v="2024-08-31T00:00:00"/>
    <d v="2024-09-09T00:00:00"/>
    <s v="UPS"/>
    <x v="1"/>
    <x v="0"/>
  </r>
  <r>
    <s v="SHP-40182"/>
    <d v="2024-04-13T00:00:00"/>
    <x v="14"/>
    <x v="5"/>
    <n v="2404"/>
    <x v="181"/>
    <d v="2024-04-15T00:00:00"/>
    <d v="2024-04-23T00:00:00"/>
    <s v="FedEx"/>
    <x v="2"/>
    <x v="1"/>
  </r>
  <r>
    <s v="SHP-40183"/>
    <d v="2025-03-12T00:00:00"/>
    <x v="3"/>
    <x v="0"/>
    <n v="1849"/>
    <x v="182"/>
    <d v="2025-03-13T00:00:00"/>
    <d v="2025-03-14T00:00:00"/>
    <s v="DHL"/>
    <x v="3"/>
    <x v="1"/>
  </r>
  <r>
    <s v="SHP-40184"/>
    <d v="2025-06-28T00:00:00"/>
    <x v="5"/>
    <x v="3"/>
    <n v="2903"/>
    <x v="183"/>
    <d v="2025-06-29T00:00:00"/>
    <d v="2025-07-06T00:00:00"/>
    <s v="DHL"/>
    <x v="1"/>
    <x v="1"/>
  </r>
  <r>
    <s v="SHP-40185"/>
    <d v="2025-08-22T00:00:00"/>
    <x v="6"/>
    <x v="8"/>
    <n v="2364"/>
    <x v="184"/>
    <d v="2025-08-24T00:00:00"/>
    <d v="2025-09-24T00:00:00"/>
    <s v="Local"/>
    <x v="0"/>
    <x v="1"/>
  </r>
  <r>
    <s v="SHP-40186"/>
    <d v="2024-12-10T00:00:00"/>
    <x v="1"/>
    <x v="0"/>
    <n v="2395"/>
    <x v="185"/>
    <d v="2024-12-12T00:00:00"/>
    <d v="2025-01-10T00:00:00"/>
    <s v="UPS"/>
    <x v="0"/>
    <x v="1"/>
  </r>
  <r>
    <s v="SHP-40187"/>
    <d v="2025-12-03T00:00:00"/>
    <x v="0"/>
    <x v="4"/>
    <n v="1234"/>
    <x v="186"/>
    <d v="2025-12-04T00:00:00"/>
    <d v="2025-12-05T00:00:00"/>
    <s v="FedEx"/>
    <x v="3"/>
    <x v="1"/>
  </r>
  <r>
    <s v="SHP-40188"/>
    <d v="2025-08-27T00:00:00"/>
    <x v="6"/>
    <x v="0"/>
    <n v="4722"/>
    <x v="187"/>
    <d v="2025-08-28T00:00:00"/>
    <d v="2025-09-12T00:00:00"/>
    <s v="DHL"/>
    <x v="2"/>
    <x v="0"/>
  </r>
  <r>
    <s v="SHP-40189"/>
    <d v="2024-03-03T00:00:00"/>
    <x v="5"/>
    <x v="7"/>
    <n v="3326"/>
    <x v="188"/>
    <d v="2024-03-04T00:00:00"/>
    <d v="2024-03-14T00:00:00"/>
    <s v="FedEx"/>
    <x v="2"/>
    <x v="1"/>
  </r>
  <r>
    <s v="SHP-40190"/>
    <d v="2025-02-22T00:00:00"/>
    <x v="5"/>
    <x v="7"/>
    <n v="3660"/>
    <x v="189"/>
    <d v="2025-02-25T00:00:00"/>
    <d v="2025-02-27T00:00:00"/>
    <s v="UPS"/>
    <x v="1"/>
    <x v="1"/>
  </r>
  <r>
    <s v="SHP-40191"/>
    <d v="2024-10-11T00:00:00"/>
    <x v="4"/>
    <x v="1"/>
    <n v="3058"/>
    <x v="190"/>
    <d v="2024-10-13T00:00:00"/>
    <d v="2024-10-16T00:00:00"/>
    <s v="FedEx"/>
    <x v="3"/>
    <x v="1"/>
  </r>
  <r>
    <s v="SHP-40192"/>
    <d v="2025-11-07T00:00:00"/>
    <x v="11"/>
    <x v="8"/>
    <n v="1534"/>
    <x v="191"/>
    <d v="2025-11-10T00:00:00"/>
    <d v="2025-12-17T00:00:00"/>
    <s v="UPS"/>
    <x v="0"/>
    <x v="0"/>
  </r>
  <r>
    <s v="SHP-40193"/>
    <d v="2025-12-13T00:00:00"/>
    <x v="0"/>
    <x v="9"/>
    <n v="1359"/>
    <x v="192"/>
    <d v="2025-12-16T00:00:00"/>
    <d v="2026-01-04T00:00:00"/>
    <s v="FedEx"/>
    <x v="0"/>
    <x v="1"/>
  </r>
  <r>
    <s v="SHP-40194"/>
    <d v="2025-07-04T00:00:00"/>
    <x v="4"/>
    <x v="8"/>
    <n v="2328"/>
    <x v="193"/>
    <d v="2025-07-07T00:00:00"/>
    <d v="2025-07-11T00:00:00"/>
    <s v="UPS"/>
    <x v="3"/>
    <x v="1"/>
  </r>
  <r>
    <s v="SHP-40195"/>
    <d v="2025-01-01T00:00:00"/>
    <x v="6"/>
    <x v="7"/>
    <n v="3240"/>
    <x v="194"/>
    <d v="2025-01-02T00:00:00"/>
    <d v="2025-02-10T00:00:00"/>
    <s v="Local"/>
    <x v="0"/>
    <x v="0"/>
  </r>
  <r>
    <s v="SHP-40196"/>
    <d v="2025-04-03T00:00:00"/>
    <x v="4"/>
    <x v="1"/>
    <n v="1057"/>
    <x v="195"/>
    <d v="2025-04-05T00:00:00"/>
    <d v="2025-04-10T00:00:00"/>
    <s v="FedEx"/>
    <x v="3"/>
    <x v="1"/>
  </r>
  <r>
    <s v="SHP-40197"/>
    <d v="2025-06-27T00:00:00"/>
    <x v="14"/>
    <x v="7"/>
    <n v="2007"/>
    <x v="196"/>
    <d v="2025-06-30T00:00:00"/>
    <d v="2025-07-31T00:00:00"/>
    <s v="FedEx"/>
    <x v="0"/>
    <x v="1"/>
  </r>
  <r>
    <s v="SHP-40198"/>
    <d v="2024-07-09T00:00:00"/>
    <x v="9"/>
    <x v="2"/>
    <n v="3806"/>
    <x v="197"/>
    <d v="2024-07-11T00:00:00"/>
    <d v="2024-07-16T00:00:00"/>
    <s v="UPS"/>
    <x v="1"/>
    <x v="1"/>
  </r>
  <r>
    <s v="SHP-40199"/>
    <d v="2024-02-13T00:00:00"/>
    <x v="2"/>
    <x v="8"/>
    <n v="198"/>
    <x v="198"/>
    <d v="2024-02-15T00:00:00"/>
    <d v="2024-02-21T00:00:00"/>
    <s v="DHL"/>
    <x v="1"/>
    <x v="1"/>
  </r>
  <r>
    <s v="SHP-40200"/>
    <d v="2025-12-05T00:00:00"/>
    <x v="4"/>
    <x v="8"/>
    <n v="595"/>
    <x v="199"/>
    <d v="2025-12-06T00:00:00"/>
    <d v="2025-12-09T00:00:00"/>
    <s v="DHL"/>
    <x v="3"/>
    <x v="1"/>
  </r>
  <r>
    <s v="SHP-40201"/>
    <d v="2024-09-04T00:00:00"/>
    <x v="1"/>
    <x v="7"/>
    <n v="1394"/>
    <x v="200"/>
    <d v="2024-09-07T00:00:00"/>
    <d v="2024-09-16T00:00:00"/>
    <s v="DHL"/>
    <x v="1"/>
    <x v="0"/>
  </r>
  <r>
    <s v="SHP-40202"/>
    <d v="2025-09-13T00:00:00"/>
    <x v="13"/>
    <x v="2"/>
    <n v="3125"/>
    <x v="201"/>
    <d v="2025-09-15T00:00:00"/>
    <d v="2025-09-22T00:00:00"/>
    <s v="UPS"/>
    <x v="2"/>
    <x v="1"/>
  </r>
  <r>
    <s v="SHP-40203"/>
    <d v="2024-11-16T00:00:00"/>
    <x v="1"/>
    <x v="7"/>
    <n v="2002"/>
    <x v="202"/>
    <d v="2024-11-18T00:00:00"/>
    <d v="2024-11-24T00:00:00"/>
    <s v="Local"/>
    <x v="1"/>
    <x v="1"/>
  </r>
  <r>
    <s v="SHP-40204"/>
    <d v="2024-05-25T00:00:00"/>
    <x v="14"/>
    <x v="3"/>
    <n v="3163"/>
    <x v="203"/>
    <d v="2024-05-26T00:00:00"/>
    <d v="2024-06-16T00:00:00"/>
    <s v="UPS"/>
    <x v="0"/>
    <x v="1"/>
  </r>
  <r>
    <s v="SHP-40205"/>
    <d v="2025-04-30T00:00:00"/>
    <x v="3"/>
    <x v="9"/>
    <n v="2645"/>
    <x v="204"/>
    <d v="2025-05-01T00:00:00"/>
    <d v="2025-05-03T00:00:00"/>
    <s v="UPS"/>
    <x v="1"/>
    <x v="1"/>
  </r>
  <r>
    <s v="SHP-40206"/>
    <d v="2024-05-15T00:00:00"/>
    <x v="3"/>
    <x v="5"/>
    <n v="859"/>
    <x v="205"/>
    <d v="2024-05-17T00:00:00"/>
    <d v="2024-05-22T00:00:00"/>
    <s v="FedEx"/>
    <x v="1"/>
    <x v="1"/>
  </r>
  <r>
    <s v="SHP-40207"/>
    <d v="2025-11-06T00:00:00"/>
    <x v="6"/>
    <x v="8"/>
    <n v="1297"/>
    <x v="206"/>
    <d v="2025-11-07T00:00:00"/>
    <d v="2025-11-22T00:00:00"/>
    <s v="Local"/>
    <x v="2"/>
    <x v="0"/>
  </r>
  <r>
    <s v="SHP-40208"/>
    <d v="2025-06-22T00:00:00"/>
    <x v="7"/>
    <x v="2"/>
    <n v="2953"/>
    <x v="207"/>
    <d v="2025-06-25T00:00:00"/>
    <d v="2025-07-15T00:00:00"/>
    <s v="FedEx"/>
    <x v="0"/>
    <x v="1"/>
  </r>
  <r>
    <s v="SHP-40209"/>
    <d v="2024-02-11T00:00:00"/>
    <x v="3"/>
    <x v="5"/>
    <n v="3536"/>
    <x v="208"/>
    <d v="2024-02-13T00:00:00"/>
    <d v="2024-02-24T00:00:00"/>
    <s v="UPS"/>
    <x v="2"/>
    <x v="1"/>
  </r>
  <r>
    <s v="SHP-40210"/>
    <d v="2025-12-03T00:00:00"/>
    <x v="6"/>
    <x v="0"/>
    <n v="4765"/>
    <x v="209"/>
    <d v="2025-12-05T00:00:00"/>
    <d v="2025-12-08T00:00:00"/>
    <s v="FedEx"/>
    <x v="3"/>
    <x v="1"/>
  </r>
  <r>
    <s v="SHP-40211"/>
    <d v="2025-05-17T00:00:00"/>
    <x v="14"/>
    <x v="4"/>
    <n v="1380"/>
    <x v="210"/>
    <d v="2025-05-18T00:00:00"/>
    <d v="2025-06-19T00:00:00"/>
    <s v="DHL"/>
    <x v="0"/>
    <x v="0"/>
  </r>
  <r>
    <s v="SHP-40212"/>
    <d v="2024-06-28T00:00:00"/>
    <x v="4"/>
    <x v="9"/>
    <n v="3184"/>
    <x v="211"/>
    <d v="2024-06-29T00:00:00"/>
    <d v="2024-07-01T00:00:00"/>
    <s v="DHL"/>
    <x v="1"/>
    <x v="1"/>
  </r>
  <r>
    <s v="SHP-40213"/>
    <d v="2024-12-24T00:00:00"/>
    <x v="0"/>
    <x v="1"/>
    <n v="4463"/>
    <x v="212"/>
    <d v="2024-12-25T00:00:00"/>
    <d v="2024-12-27T00:00:00"/>
    <s v="Local"/>
    <x v="3"/>
    <x v="1"/>
  </r>
  <r>
    <s v="SHP-40214"/>
    <d v="2024-01-30T00:00:00"/>
    <x v="5"/>
    <x v="2"/>
    <n v="3527"/>
    <x v="213"/>
    <d v="2024-02-02T00:00:00"/>
    <d v="2024-02-12T00:00:00"/>
    <s v="UPS"/>
    <x v="2"/>
    <x v="1"/>
  </r>
  <r>
    <s v="SHP-40215"/>
    <d v="2025-03-17T00:00:00"/>
    <x v="14"/>
    <x v="4"/>
    <n v="3335"/>
    <x v="214"/>
    <d v="2025-03-20T00:00:00"/>
    <d v="2025-03-22T00:00:00"/>
    <s v="FedEx"/>
    <x v="3"/>
    <x v="1"/>
  </r>
  <r>
    <s v="SHP-40216"/>
    <d v="2024-08-12T00:00:00"/>
    <x v="10"/>
    <x v="8"/>
    <n v="950"/>
    <x v="215"/>
    <d v="2024-08-14T00:00:00"/>
    <d v="2024-08-23T00:00:00"/>
    <s v="DHL"/>
    <x v="1"/>
    <x v="0"/>
  </r>
  <r>
    <s v="SHP-40217"/>
    <d v="2024-08-07T00:00:00"/>
    <x v="8"/>
    <x v="4"/>
    <n v="2152"/>
    <x v="216"/>
    <d v="2024-08-08T00:00:00"/>
    <d v="2024-08-10T00:00:00"/>
    <s v="UPS"/>
    <x v="1"/>
    <x v="1"/>
  </r>
  <r>
    <s v="SHP-40218"/>
    <d v="2025-12-03T00:00:00"/>
    <x v="7"/>
    <x v="9"/>
    <n v="4980"/>
    <x v="217"/>
    <d v="2025-12-05T00:00:00"/>
    <d v="2025-12-12T00:00:00"/>
    <s v="UPS"/>
    <x v="1"/>
    <x v="1"/>
  </r>
  <r>
    <s v="SHP-40219"/>
    <d v="2024-08-06T00:00:00"/>
    <x v="6"/>
    <x v="1"/>
    <n v="179"/>
    <x v="218"/>
    <d v="2024-08-07T00:00:00"/>
    <d v="2024-08-15T00:00:00"/>
    <s v="FedEx"/>
    <x v="1"/>
    <x v="1"/>
  </r>
  <r>
    <s v="SHP-40220"/>
    <d v="2024-05-19T00:00:00"/>
    <x v="5"/>
    <x v="6"/>
    <n v="4619"/>
    <x v="219"/>
    <d v="2024-05-22T00:00:00"/>
    <d v="2024-05-30T00:00:00"/>
    <s v="FedEx"/>
    <x v="1"/>
    <x v="1"/>
  </r>
  <r>
    <s v="SHP-40221"/>
    <d v="2024-10-15T00:00:00"/>
    <x v="8"/>
    <x v="6"/>
    <n v="711"/>
    <x v="220"/>
    <d v="2024-10-18T00:00:00"/>
    <d v="2024-10-21T00:00:00"/>
    <s v="DHL"/>
    <x v="1"/>
    <x v="1"/>
  </r>
  <r>
    <s v="SHP-40222"/>
    <d v="2025-03-21T00:00:00"/>
    <x v="11"/>
    <x v="2"/>
    <n v="2917"/>
    <x v="221"/>
    <d v="2025-03-24T00:00:00"/>
    <d v="2025-03-29T00:00:00"/>
    <s v="Local"/>
    <x v="1"/>
    <x v="1"/>
  </r>
  <r>
    <s v="SHP-40223"/>
    <d v="2024-02-20T00:00:00"/>
    <x v="10"/>
    <x v="8"/>
    <n v="242"/>
    <x v="222"/>
    <d v="2024-02-22T00:00:00"/>
    <d v="2024-03-03T00:00:00"/>
    <s v="FedEx"/>
    <x v="1"/>
    <x v="0"/>
  </r>
  <r>
    <s v="SHP-40224"/>
    <d v="2025-02-17T00:00:00"/>
    <x v="7"/>
    <x v="7"/>
    <n v="900"/>
    <x v="223"/>
    <d v="2025-02-19T00:00:00"/>
    <d v="2025-02-26T00:00:00"/>
    <s v="DHL"/>
    <x v="2"/>
    <x v="1"/>
  </r>
  <r>
    <s v="SHP-40225"/>
    <d v="2024-07-25T00:00:00"/>
    <x v="14"/>
    <x v="1"/>
    <n v="2974"/>
    <x v="224"/>
    <d v="2024-07-26T00:00:00"/>
    <d v="2024-07-30T00:00:00"/>
    <s v="FedEx"/>
    <x v="3"/>
    <x v="1"/>
  </r>
  <r>
    <s v="SHP-40226"/>
    <d v="2025-11-15T00:00:00"/>
    <x v="10"/>
    <x v="9"/>
    <n v="2307"/>
    <x v="225"/>
    <d v="2025-11-17T00:00:00"/>
    <d v="2025-11-24T00:00:00"/>
    <s v="DHL"/>
    <x v="1"/>
    <x v="1"/>
  </r>
  <r>
    <s v="SHP-40227"/>
    <d v="2025-02-03T00:00:00"/>
    <x v="12"/>
    <x v="1"/>
    <n v="3419"/>
    <x v="226"/>
    <d v="2025-02-05T00:00:00"/>
    <d v="2025-02-07T00:00:00"/>
    <s v="UPS"/>
    <x v="1"/>
    <x v="1"/>
  </r>
  <r>
    <s v="SHP-40228"/>
    <d v="2024-06-18T00:00:00"/>
    <x v="11"/>
    <x v="8"/>
    <n v="4549"/>
    <x v="227"/>
    <d v="2024-06-20T00:00:00"/>
    <d v="2024-07-18T00:00:00"/>
    <s v="DHL"/>
    <x v="0"/>
    <x v="1"/>
  </r>
  <r>
    <s v="SHP-40229"/>
    <d v="2024-09-27T00:00:00"/>
    <x v="7"/>
    <x v="7"/>
    <n v="1248"/>
    <x v="228"/>
    <d v="2024-09-30T00:00:00"/>
    <d v="2024-10-07T00:00:00"/>
    <s v="FedEx"/>
    <x v="1"/>
    <x v="1"/>
  </r>
  <r>
    <s v="SHP-40230"/>
    <d v="2025-12-10T00:00:00"/>
    <x v="6"/>
    <x v="3"/>
    <n v="4435"/>
    <x v="229"/>
    <d v="2025-12-12T00:00:00"/>
    <d v="2025-12-26T00:00:00"/>
    <s v="UPS"/>
    <x v="0"/>
    <x v="1"/>
  </r>
  <r>
    <s v="SHP-40231"/>
    <d v="2024-07-22T00:00:00"/>
    <x v="11"/>
    <x v="7"/>
    <n v="4944"/>
    <x v="230"/>
    <d v="2024-07-23T00:00:00"/>
    <d v="2024-07-27T00:00:00"/>
    <s v="Local"/>
    <x v="1"/>
    <x v="1"/>
  </r>
  <r>
    <s v="SHP-40232"/>
    <d v="2024-05-27T00:00:00"/>
    <x v="6"/>
    <x v="9"/>
    <n v="483"/>
    <x v="231"/>
    <d v="2024-05-28T00:00:00"/>
    <d v="2024-06-02T00:00:00"/>
    <s v="UPS"/>
    <x v="3"/>
    <x v="1"/>
  </r>
  <r>
    <s v="SHP-40233"/>
    <d v="2024-09-04T00:00:00"/>
    <x v="1"/>
    <x v="2"/>
    <n v="2788"/>
    <x v="232"/>
    <d v="2024-09-06T00:00:00"/>
    <d v="2024-09-08T00:00:00"/>
    <s v="UPS"/>
    <x v="3"/>
    <x v="1"/>
  </r>
  <r>
    <s v="SHP-40234"/>
    <d v="2025-02-06T00:00:00"/>
    <x v="9"/>
    <x v="3"/>
    <n v="4442"/>
    <x v="233"/>
    <d v="2025-02-09T00:00:00"/>
    <d v="2025-02-15T00:00:00"/>
    <s v="FedEx"/>
    <x v="1"/>
    <x v="1"/>
  </r>
  <r>
    <s v="SHP-40235"/>
    <d v="2025-03-06T00:00:00"/>
    <x v="1"/>
    <x v="6"/>
    <n v="2735"/>
    <x v="234"/>
    <d v="2025-03-09T00:00:00"/>
    <d v="2025-03-10T00:00:00"/>
    <s v="UPS"/>
    <x v="3"/>
    <x v="1"/>
  </r>
  <r>
    <s v="SHP-40236"/>
    <d v="2025-06-01T00:00:00"/>
    <x v="11"/>
    <x v="7"/>
    <n v="3633"/>
    <x v="235"/>
    <d v="2025-06-02T00:00:00"/>
    <d v="2025-06-09T00:00:00"/>
    <s v="FedEx"/>
    <x v="2"/>
    <x v="1"/>
  </r>
  <r>
    <s v="SHP-40237"/>
    <d v="2025-03-09T00:00:00"/>
    <x v="12"/>
    <x v="2"/>
    <n v="1793"/>
    <x v="236"/>
    <d v="2025-03-12T00:00:00"/>
    <d v="2025-03-18T00:00:00"/>
    <s v="UPS"/>
    <x v="1"/>
    <x v="1"/>
  </r>
  <r>
    <s v="SHP-40238"/>
    <d v="2025-01-01T00:00:00"/>
    <x v="2"/>
    <x v="0"/>
    <n v="111"/>
    <x v="237"/>
    <d v="2025-01-04T00:00:00"/>
    <d v="2025-01-07T00:00:00"/>
    <s v="FedEx"/>
    <x v="3"/>
    <x v="1"/>
  </r>
  <r>
    <s v="SHP-40239"/>
    <d v="2024-09-27T00:00:00"/>
    <x v="1"/>
    <x v="4"/>
    <n v="589"/>
    <x v="238"/>
    <d v="2024-09-28T00:00:00"/>
    <d v="2024-10-02T00:00:00"/>
    <s v="FedEx"/>
    <x v="1"/>
    <x v="1"/>
  </r>
  <r>
    <s v="SHP-40240"/>
    <d v="2025-12-11T00:00:00"/>
    <x v="0"/>
    <x v="0"/>
    <n v="3883"/>
    <x v="239"/>
    <d v="2025-12-12T00:00:00"/>
    <d v="2026-01-03T00:00:00"/>
    <s v="DHL"/>
    <x v="0"/>
    <x v="1"/>
  </r>
  <r>
    <s v="SHP-40241"/>
    <d v="2024-02-17T00:00:00"/>
    <x v="6"/>
    <x v="5"/>
    <n v="641"/>
    <x v="240"/>
    <d v="2024-02-20T00:00:00"/>
    <d v="2024-03-01T00:00:00"/>
    <s v="Local"/>
    <x v="1"/>
    <x v="0"/>
  </r>
  <r>
    <s v="SHP-40242"/>
    <d v="2024-05-22T00:00:00"/>
    <x v="4"/>
    <x v="7"/>
    <n v="1968"/>
    <x v="241"/>
    <d v="2024-05-24T00:00:00"/>
    <d v="2024-05-26T00:00:00"/>
    <s v="Local"/>
    <x v="1"/>
    <x v="1"/>
  </r>
  <r>
    <s v="SHP-40243"/>
    <d v="2025-05-22T00:00:00"/>
    <x v="13"/>
    <x v="0"/>
    <n v="758"/>
    <x v="242"/>
    <d v="2025-05-23T00:00:00"/>
    <d v="2025-06-24T00:00:00"/>
    <s v="Local"/>
    <x v="0"/>
    <x v="0"/>
  </r>
  <r>
    <s v="SHP-40244"/>
    <d v="2025-07-31T00:00:00"/>
    <x v="2"/>
    <x v="3"/>
    <n v="3931"/>
    <x v="243"/>
    <d v="2025-08-02T00:00:00"/>
    <d v="2025-08-07T00:00:00"/>
    <s v="DHL"/>
    <x v="2"/>
    <x v="1"/>
  </r>
  <r>
    <s v="SHP-40245"/>
    <d v="2025-09-15T00:00:00"/>
    <x v="0"/>
    <x v="9"/>
    <n v="4634"/>
    <x v="244"/>
    <d v="2025-09-18T00:00:00"/>
    <d v="2025-09-28T00:00:00"/>
    <s v="FedEx"/>
    <x v="1"/>
    <x v="0"/>
  </r>
  <r>
    <s v="SHP-40246"/>
    <d v="2025-05-25T00:00:00"/>
    <x v="7"/>
    <x v="3"/>
    <n v="1133"/>
    <x v="245"/>
    <d v="2025-05-26T00:00:00"/>
    <d v="2025-06-01T00:00:00"/>
    <s v="UPS"/>
    <x v="2"/>
    <x v="1"/>
  </r>
  <r>
    <s v="SHP-40247"/>
    <d v="2024-10-21T00:00:00"/>
    <x v="12"/>
    <x v="7"/>
    <n v="645"/>
    <x v="246"/>
    <d v="2024-10-22T00:00:00"/>
    <d v="2024-12-01T00:00:00"/>
    <s v="Local"/>
    <x v="0"/>
    <x v="0"/>
  </r>
  <r>
    <s v="SHP-40248"/>
    <d v="2024-08-04T00:00:00"/>
    <x v="2"/>
    <x v="9"/>
    <n v="4798"/>
    <x v="247"/>
    <d v="2024-08-06T00:00:00"/>
    <d v="2024-08-16T00:00:00"/>
    <s v="DHL"/>
    <x v="1"/>
    <x v="0"/>
  </r>
  <r>
    <s v="SHP-40249"/>
    <d v="2025-01-19T00:00:00"/>
    <x v="1"/>
    <x v="5"/>
    <n v="617"/>
    <x v="248"/>
    <d v="2025-01-20T00:00:00"/>
    <d v="2025-01-30T00:00:00"/>
    <s v="UPS"/>
    <x v="1"/>
    <x v="0"/>
  </r>
  <r>
    <s v="SHP-40250"/>
    <d v="2025-12-13T00:00:00"/>
    <x v="2"/>
    <x v="6"/>
    <n v="2288"/>
    <x v="249"/>
    <d v="2025-12-16T00:00:00"/>
    <d v="2025-12-22T00:00:00"/>
    <s v="DHL"/>
    <x v="1"/>
    <x v="1"/>
  </r>
  <r>
    <s v="SHP-40251"/>
    <d v="2024-01-15T00:00:00"/>
    <x v="7"/>
    <x v="1"/>
    <n v="4612"/>
    <x v="250"/>
    <d v="2024-01-16T00:00:00"/>
    <d v="2024-01-26T00:00:00"/>
    <s v="FedEx"/>
    <x v="1"/>
    <x v="0"/>
  </r>
  <r>
    <s v="SHP-40252"/>
    <d v="2024-12-03T00:00:00"/>
    <x v="10"/>
    <x v="5"/>
    <n v="4546"/>
    <x v="251"/>
    <d v="2024-12-05T00:00:00"/>
    <d v="2024-12-11T00:00:00"/>
    <s v="Local"/>
    <x v="2"/>
    <x v="1"/>
  </r>
  <r>
    <s v="SHP-40253"/>
    <d v="2024-01-24T00:00:00"/>
    <x v="3"/>
    <x v="3"/>
    <n v="980"/>
    <x v="252"/>
    <d v="2024-01-25T00:00:00"/>
    <d v="2024-01-27T00:00:00"/>
    <s v="UPS"/>
    <x v="3"/>
    <x v="1"/>
  </r>
  <r>
    <s v="SHP-40254"/>
    <d v="2025-08-23T00:00:00"/>
    <x v="4"/>
    <x v="5"/>
    <n v="811"/>
    <x v="253"/>
    <d v="2025-08-24T00:00:00"/>
    <d v="2025-10-01T00:00:00"/>
    <s v="FedEx"/>
    <x v="0"/>
    <x v="0"/>
  </r>
  <r>
    <s v="SHP-40255"/>
    <d v="2025-05-13T00:00:00"/>
    <x v="9"/>
    <x v="9"/>
    <n v="3252"/>
    <x v="254"/>
    <d v="2025-05-15T00:00:00"/>
    <d v="2025-05-22T00:00:00"/>
    <s v="FedEx"/>
    <x v="2"/>
    <x v="1"/>
  </r>
  <r>
    <s v="SHP-40256"/>
    <d v="2024-04-19T00:00:00"/>
    <x v="0"/>
    <x v="7"/>
    <n v="2202"/>
    <x v="255"/>
    <d v="2024-04-22T00:00:00"/>
    <d v="2024-04-30T00:00:00"/>
    <s v="DHL"/>
    <x v="1"/>
    <x v="1"/>
  </r>
  <r>
    <s v="SHP-40257"/>
    <d v="2025-01-21T00:00:00"/>
    <x v="3"/>
    <x v="8"/>
    <n v="1199"/>
    <x v="256"/>
    <d v="2025-01-23T00:00:00"/>
    <d v="2025-01-27T00:00:00"/>
    <s v="UPS"/>
    <x v="3"/>
    <x v="1"/>
  </r>
  <r>
    <s v="SHP-40258"/>
    <d v="2025-01-06T00:00:00"/>
    <x v="10"/>
    <x v="7"/>
    <n v="3980"/>
    <x v="257"/>
    <d v="2025-01-09T00:00:00"/>
    <d v="2025-01-19T00:00:00"/>
    <s v="DHL"/>
    <x v="2"/>
    <x v="1"/>
  </r>
  <r>
    <s v="SHP-40259"/>
    <d v="2025-11-25T00:00:00"/>
    <x v="10"/>
    <x v="3"/>
    <n v="3502"/>
    <x v="258"/>
    <d v="2025-11-28T00:00:00"/>
    <d v="2025-12-04T00:00:00"/>
    <s v="UPS"/>
    <x v="2"/>
    <x v="1"/>
  </r>
  <r>
    <s v="SHP-40260"/>
    <d v="2025-09-02T00:00:00"/>
    <x v="7"/>
    <x v="7"/>
    <n v="76"/>
    <x v="259"/>
    <d v="2025-09-04T00:00:00"/>
    <d v="2025-09-14T00:00:00"/>
    <s v="DHL"/>
    <x v="1"/>
    <x v="0"/>
  </r>
  <r>
    <s v="SHP-40261"/>
    <d v="2025-04-20T00:00:00"/>
    <x v="11"/>
    <x v="1"/>
    <n v="4773"/>
    <x v="260"/>
    <d v="2025-04-22T00:00:00"/>
    <d v="2025-05-05T00:00:00"/>
    <s v="UPS"/>
    <x v="2"/>
    <x v="0"/>
  </r>
  <r>
    <s v="SHP-40262"/>
    <d v="2024-08-30T00:00:00"/>
    <x v="9"/>
    <x v="4"/>
    <n v="2738"/>
    <x v="261"/>
    <d v="2024-08-31T00:00:00"/>
    <d v="2024-09-03T00:00:00"/>
    <s v="Local"/>
    <x v="3"/>
    <x v="1"/>
  </r>
  <r>
    <s v="SHP-40263"/>
    <d v="2025-04-06T00:00:00"/>
    <x v="10"/>
    <x v="1"/>
    <n v="4526"/>
    <x v="262"/>
    <d v="2025-04-07T00:00:00"/>
    <d v="2025-04-10T00:00:00"/>
    <s v="UPS"/>
    <x v="3"/>
    <x v="1"/>
  </r>
  <r>
    <s v="SHP-40264"/>
    <d v="2024-07-23T00:00:00"/>
    <x v="7"/>
    <x v="8"/>
    <n v="3944"/>
    <x v="263"/>
    <d v="2024-07-26T00:00:00"/>
    <d v="2024-08-04T00:00:00"/>
    <s v="Local"/>
    <x v="1"/>
    <x v="0"/>
  </r>
  <r>
    <s v="SHP-40265"/>
    <d v="2025-11-17T00:00:00"/>
    <x v="14"/>
    <x v="2"/>
    <n v="1170"/>
    <x v="264"/>
    <d v="2025-11-19T00:00:00"/>
    <d v="2025-11-23T00:00:00"/>
    <s v="FedEx"/>
    <x v="1"/>
    <x v="1"/>
  </r>
  <r>
    <s v="SHP-40266"/>
    <d v="2025-01-09T00:00:00"/>
    <x v="1"/>
    <x v="7"/>
    <n v="1405"/>
    <x v="265"/>
    <d v="2025-01-12T00:00:00"/>
    <d v="2025-01-20T00:00:00"/>
    <s v="UPS"/>
    <x v="1"/>
    <x v="1"/>
  </r>
  <r>
    <s v="SHP-40267"/>
    <d v="2024-01-20T00:00:00"/>
    <x v="4"/>
    <x v="4"/>
    <n v="271"/>
    <x v="266"/>
    <d v="2024-01-22T00:00:00"/>
    <d v="2024-02-01T00:00:00"/>
    <s v="DHL"/>
    <x v="1"/>
    <x v="0"/>
  </r>
  <r>
    <s v="SHP-40268"/>
    <d v="2025-07-16T00:00:00"/>
    <x v="0"/>
    <x v="1"/>
    <n v="1834"/>
    <x v="267"/>
    <d v="2025-07-17T00:00:00"/>
    <d v="2025-07-20T00:00:00"/>
    <s v="Local"/>
    <x v="1"/>
    <x v="1"/>
  </r>
  <r>
    <s v="SHP-40269"/>
    <d v="2024-12-26T00:00:00"/>
    <x v="0"/>
    <x v="9"/>
    <n v="3215"/>
    <x v="268"/>
    <d v="2024-12-27T00:00:00"/>
    <d v="2025-01-06T00:00:00"/>
    <s v="UPS"/>
    <x v="2"/>
    <x v="1"/>
  </r>
  <r>
    <s v="SHP-40270"/>
    <d v="2024-04-24T00:00:00"/>
    <x v="7"/>
    <x v="2"/>
    <n v="4347"/>
    <x v="269"/>
    <d v="2024-04-25T00:00:00"/>
    <d v="2024-04-29T00:00:00"/>
    <s v="FedEx"/>
    <x v="1"/>
    <x v="1"/>
  </r>
  <r>
    <s v="SHP-40271"/>
    <d v="2024-06-18T00:00:00"/>
    <x v="10"/>
    <x v="3"/>
    <n v="946"/>
    <x v="270"/>
    <d v="2024-06-21T00:00:00"/>
    <d v="2024-06-25T00:00:00"/>
    <s v="FedEx"/>
    <x v="1"/>
    <x v="1"/>
  </r>
  <r>
    <s v="SHP-40272"/>
    <d v="2025-06-18T00:00:00"/>
    <x v="2"/>
    <x v="4"/>
    <n v="3204"/>
    <x v="271"/>
    <d v="2025-06-21T00:00:00"/>
    <d v="2025-06-26T00:00:00"/>
    <s v="UPS"/>
    <x v="1"/>
    <x v="1"/>
  </r>
  <r>
    <s v="SHP-40273"/>
    <d v="2024-03-05T00:00:00"/>
    <x v="2"/>
    <x v="7"/>
    <n v="2077"/>
    <x v="272"/>
    <d v="2024-03-07T00:00:00"/>
    <d v="2024-03-13T00:00:00"/>
    <s v="DHL"/>
    <x v="1"/>
    <x v="1"/>
  </r>
  <r>
    <s v="SHP-40274"/>
    <d v="2024-06-19T00:00:00"/>
    <x v="0"/>
    <x v="8"/>
    <n v="4604"/>
    <x v="273"/>
    <d v="2024-06-22T00:00:00"/>
    <d v="2024-06-26T00:00:00"/>
    <s v="UPS"/>
    <x v="3"/>
    <x v="1"/>
  </r>
  <r>
    <s v="SHP-40275"/>
    <d v="2024-10-11T00:00:00"/>
    <x v="1"/>
    <x v="2"/>
    <n v="2088"/>
    <x v="274"/>
    <d v="2024-10-14T00:00:00"/>
    <d v="2024-10-18T00:00:00"/>
    <s v="UPS"/>
    <x v="1"/>
    <x v="1"/>
  </r>
  <r>
    <s v="SHP-40276"/>
    <d v="2025-08-08T00:00:00"/>
    <x v="8"/>
    <x v="9"/>
    <n v="1987"/>
    <x v="275"/>
    <d v="2025-08-11T00:00:00"/>
    <d v="2025-08-15T00:00:00"/>
    <s v="Local"/>
    <x v="1"/>
    <x v="1"/>
  </r>
  <r>
    <s v="SHP-40277"/>
    <d v="2024-07-15T00:00:00"/>
    <x v="10"/>
    <x v="1"/>
    <n v="3692"/>
    <x v="276"/>
    <d v="2024-07-16T00:00:00"/>
    <d v="2024-07-21T00:00:00"/>
    <s v="FedEx"/>
    <x v="3"/>
    <x v="1"/>
  </r>
  <r>
    <s v="SHP-40278"/>
    <d v="2025-07-08T00:00:00"/>
    <x v="1"/>
    <x v="0"/>
    <n v="744"/>
    <x v="277"/>
    <d v="2025-07-11T00:00:00"/>
    <d v="2025-07-15T00:00:00"/>
    <s v="Local"/>
    <x v="1"/>
    <x v="1"/>
  </r>
  <r>
    <s v="SHP-40279"/>
    <d v="2024-01-17T00:00:00"/>
    <x v="6"/>
    <x v="9"/>
    <n v="791"/>
    <x v="278"/>
    <d v="2024-01-20T00:00:00"/>
    <d v="2024-01-23T00:00:00"/>
    <s v="DHL"/>
    <x v="3"/>
    <x v="1"/>
  </r>
  <r>
    <s v="SHP-40280"/>
    <d v="2025-05-15T00:00:00"/>
    <x v="3"/>
    <x v="9"/>
    <n v="2679"/>
    <x v="279"/>
    <d v="2025-05-17T00:00:00"/>
    <d v="2025-05-19T00:00:00"/>
    <s v="DHL"/>
    <x v="1"/>
    <x v="1"/>
  </r>
  <r>
    <s v="SHP-40281"/>
    <d v="2024-06-05T00:00:00"/>
    <x v="2"/>
    <x v="9"/>
    <n v="2279"/>
    <x v="280"/>
    <d v="2024-06-07T00:00:00"/>
    <d v="2024-06-12T00:00:00"/>
    <s v="UPS"/>
    <x v="1"/>
    <x v="1"/>
  </r>
  <r>
    <s v="SHP-40282"/>
    <d v="2025-05-01T00:00:00"/>
    <x v="5"/>
    <x v="5"/>
    <n v="4607"/>
    <x v="281"/>
    <d v="2025-05-03T00:00:00"/>
    <d v="2025-05-17T00:00:00"/>
    <s v="UPS"/>
    <x v="2"/>
    <x v="0"/>
  </r>
  <r>
    <s v="SHP-40283"/>
    <d v="2025-09-03T00:00:00"/>
    <x v="7"/>
    <x v="7"/>
    <n v="224"/>
    <x v="282"/>
    <d v="2025-09-05T00:00:00"/>
    <d v="2025-09-08T00:00:00"/>
    <s v="DHL"/>
    <x v="3"/>
    <x v="1"/>
  </r>
  <r>
    <s v="SHP-40284"/>
    <d v="2024-10-08T00:00:00"/>
    <x v="4"/>
    <x v="7"/>
    <n v="391"/>
    <x v="283"/>
    <d v="2024-10-09T00:00:00"/>
    <d v="2024-10-14T00:00:00"/>
    <s v="UPS"/>
    <x v="3"/>
    <x v="1"/>
  </r>
  <r>
    <s v="SHP-40285"/>
    <d v="2024-09-11T00:00:00"/>
    <x v="2"/>
    <x v="6"/>
    <n v="2388"/>
    <x v="284"/>
    <d v="2024-09-12T00:00:00"/>
    <d v="2024-09-17T00:00:00"/>
    <s v="FedEx"/>
    <x v="1"/>
    <x v="1"/>
  </r>
  <r>
    <s v="SHP-40286"/>
    <d v="2024-01-19T00:00:00"/>
    <x v="11"/>
    <x v="6"/>
    <n v="3818"/>
    <x v="285"/>
    <d v="2024-01-21T00:00:00"/>
    <d v="2024-01-24T00:00:00"/>
    <s v="UPS"/>
    <x v="1"/>
    <x v="1"/>
  </r>
  <r>
    <s v="SHP-40287"/>
    <d v="2025-05-03T00:00:00"/>
    <x v="3"/>
    <x v="6"/>
    <n v="4693"/>
    <x v="286"/>
    <d v="2025-05-06T00:00:00"/>
    <d v="2025-05-21T00:00:00"/>
    <s v="UPS"/>
    <x v="2"/>
    <x v="0"/>
  </r>
  <r>
    <s v="SHP-40288"/>
    <d v="2025-03-19T00:00:00"/>
    <x v="6"/>
    <x v="9"/>
    <n v="1647"/>
    <x v="287"/>
    <d v="2025-03-22T00:00:00"/>
    <d v="2025-04-04T00:00:00"/>
    <s v="DHL"/>
    <x v="2"/>
    <x v="0"/>
  </r>
  <r>
    <s v="SHP-40289"/>
    <d v="2025-12-27T00:00:00"/>
    <x v="11"/>
    <x v="6"/>
    <n v="2526"/>
    <x v="288"/>
    <d v="2025-12-30T00:00:00"/>
    <d v="2026-01-06T00:00:00"/>
    <s v="UPS"/>
    <x v="1"/>
    <x v="1"/>
  </r>
  <r>
    <s v="SHP-40290"/>
    <d v="2025-03-18T00:00:00"/>
    <x v="10"/>
    <x v="5"/>
    <n v="3929"/>
    <x v="289"/>
    <d v="2025-03-20T00:00:00"/>
    <d v="2025-03-23T00:00:00"/>
    <s v="Local"/>
    <x v="1"/>
    <x v="1"/>
  </r>
  <r>
    <s v="SHP-40291"/>
    <d v="2024-10-24T00:00:00"/>
    <x v="3"/>
    <x v="7"/>
    <n v="3785"/>
    <x v="290"/>
    <d v="2024-10-26T00:00:00"/>
    <d v="2024-10-28T00:00:00"/>
    <s v="UPS"/>
    <x v="1"/>
    <x v="1"/>
  </r>
  <r>
    <s v="SHP-40292"/>
    <d v="2024-11-28T00:00:00"/>
    <x v="9"/>
    <x v="8"/>
    <n v="4287"/>
    <x v="291"/>
    <d v="2024-11-30T00:00:00"/>
    <d v="2025-01-03T00:00:00"/>
    <s v="UPS"/>
    <x v="0"/>
    <x v="0"/>
  </r>
  <r>
    <s v="SHP-40293"/>
    <d v="2025-02-21T00:00:00"/>
    <x v="9"/>
    <x v="6"/>
    <n v="4381"/>
    <x v="292"/>
    <d v="2025-02-23T00:00:00"/>
    <d v="2025-03-03T00:00:00"/>
    <s v="FedEx"/>
    <x v="1"/>
    <x v="1"/>
  </r>
  <r>
    <s v="SHP-40294"/>
    <d v="2025-12-01T00:00:00"/>
    <x v="8"/>
    <x v="0"/>
    <n v="1782"/>
    <x v="293"/>
    <d v="2025-12-04T00:00:00"/>
    <d v="2026-01-16T00:00:00"/>
    <s v="Local"/>
    <x v="0"/>
    <x v="0"/>
  </r>
  <r>
    <s v="SHP-40295"/>
    <d v="2024-03-07T00:00:00"/>
    <x v="1"/>
    <x v="4"/>
    <n v="224"/>
    <x v="294"/>
    <d v="2024-03-10T00:00:00"/>
    <d v="2024-03-15T00:00:00"/>
    <s v="FedEx"/>
    <x v="1"/>
    <x v="1"/>
  </r>
  <r>
    <s v="SHP-40296"/>
    <d v="2025-06-02T00:00:00"/>
    <x v="8"/>
    <x v="3"/>
    <n v="811"/>
    <x v="295"/>
    <d v="2025-06-05T00:00:00"/>
    <d v="2025-06-09T00:00:00"/>
    <s v="FedEx"/>
    <x v="1"/>
    <x v="1"/>
  </r>
  <r>
    <s v="SHP-40297"/>
    <d v="2024-03-23T00:00:00"/>
    <x v="13"/>
    <x v="9"/>
    <n v="3128"/>
    <x v="296"/>
    <d v="2024-03-24T00:00:00"/>
    <d v="2024-03-28T00:00:00"/>
    <s v="UPS"/>
    <x v="3"/>
    <x v="1"/>
  </r>
  <r>
    <s v="SHP-40298"/>
    <d v="2024-12-22T00:00:00"/>
    <x v="8"/>
    <x v="3"/>
    <n v="2470"/>
    <x v="297"/>
    <d v="2024-12-24T00:00:00"/>
    <d v="2024-12-28T00:00:00"/>
    <s v="Local"/>
    <x v="3"/>
    <x v="1"/>
  </r>
  <r>
    <s v="SHP-40299"/>
    <d v="2025-01-25T00:00:00"/>
    <x v="8"/>
    <x v="9"/>
    <n v="2645"/>
    <x v="298"/>
    <d v="2025-01-28T00:00:00"/>
    <d v="2025-02-02T00:00:00"/>
    <s v="UPS"/>
    <x v="1"/>
    <x v="1"/>
  </r>
  <r>
    <s v="SHP-40300"/>
    <d v="2024-08-01T00:00:00"/>
    <x v="11"/>
    <x v="6"/>
    <n v="865"/>
    <x v="299"/>
    <d v="2024-08-04T00:00:00"/>
    <d v="2024-08-07T00:00:00"/>
    <s v="UPS"/>
    <x v="1"/>
    <x v="1"/>
  </r>
  <r>
    <s v="SHP-40301"/>
    <d v="2024-03-15T00:00:00"/>
    <x v="0"/>
    <x v="7"/>
    <n v="370"/>
    <x v="300"/>
    <d v="2024-03-18T00:00:00"/>
    <d v="2024-03-21T00:00:00"/>
    <s v="UPS"/>
    <x v="3"/>
    <x v="1"/>
  </r>
  <r>
    <s v="SHP-40302"/>
    <d v="2024-05-22T00:00:00"/>
    <x v="14"/>
    <x v="3"/>
    <n v="3865"/>
    <x v="301"/>
    <d v="2024-05-25T00:00:00"/>
    <d v="2024-06-08T00:00:00"/>
    <s v="DHL"/>
    <x v="2"/>
    <x v="0"/>
  </r>
  <r>
    <s v="SHP-40303"/>
    <d v="2024-04-14T00:00:00"/>
    <x v="8"/>
    <x v="9"/>
    <n v="472"/>
    <x v="302"/>
    <d v="2024-04-16T00:00:00"/>
    <d v="2024-04-18T00:00:00"/>
    <s v="FedEx"/>
    <x v="1"/>
    <x v="1"/>
  </r>
  <r>
    <s v="SHP-40304"/>
    <d v="2025-06-18T00:00:00"/>
    <x v="0"/>
    <x v="0"/>
    <n v="4963"/>
    <x v="303"/>
    <d v="2025-06-21T00:00:00"/>
    <d v="2025-06-29T00:00:00"/>
    <s v="FedEx"/>
    <x v="2"/>
    <x v="1"/>
  </r>
  <r>
    <s v="SHP-40305"/>
    <d v="2025-10-27T00:00:00"/>
    <x v="10"/>
    <x v="5"/>
    <n v="2676"/>
    <x v="304"/>
    <d v="2025-10-30T00:00:00"/>
    <d v="2025-11-09T00:00:00"/>
    <s v="DHL"/>
    <x v="1"/>
    <x v="0"/>
  </r>
  <r>
    <s v="SHP-40306"/>
    <d v="2024-02-19T00:00:00"/>
    <x v="6"/>
    <x v="4"/>
    <n v="3683"/>
    <x v="305"/>
    <d v="2024-02-22T00:00:00"/>
    <d v="2024-04-01T00:00:00"/>
    <s v="Local"/>
    <x v="0"/>
    <x v="0"/>
  </r>
  <r>
    <s v="SHP-40307"/>
    <d v="2025-07-25T00:00:00"/>
    <x v="11"/>
    <x v="6"/>
    <n v="4302"/>
    <x v="306"/>
    <d v="2025-07-27T00:00:00"/>
    <d v="2025-07-30T00:00:00"/>
    <s v="UPS"/>
    <x v="1"/>
    <x v="1"/>
  </r>
  <r>
    <s v="SHP-40308"/>
    <d v="2025-06-01T00:00:00"/>
    <x v="4"/>
    <x v="7"/>
    <n v="2500"/>
    <x v="307"/>
    <d v="2025-06-04T00:00:00"/>
    <d v="2025-06-14T00:00:00"/>
    <s v="UPS"/>
    <x v="1"/>
    <x v="0"/>
  </r>
  <r>
    <s v="SHP-40309"/>
    <d v="2024-09-13T00:00:00"/>
    <x v="0"/>
    <x v="2"/>
    <n v="4862"/>
    <x v="308"/>
    <d v="2024-09-15T00:00:00"/>
    <d v="2024-09-17T00:00:00"/>
    <s v="FedEx"/>
    <x v="3"/>
    <x v="1"/>
  </r>
  <r>
    <s v="SHP-40310"/>
    <d v="2024-08-18T00:00:00"/>
    <x v="11"/>
    <x v="4"/>
    <n v="475"/>
    <x v="309"/>
    <d v="2024-08-21T00:00:00"/>
    <d v="2024-08-23T00:00:00"/>
    <s v="DHL"/>
    <x v="1"/>
    <x v="1"/>
  </r>
  <r>
    <s v="SHP-40311"/>
    <d v="2025-10-03T00:00:00"/>
    <x v="5"/>
    <x v="8"/>
    <n v="1818"/>
    <x v="310"/>
    <d v="2025-10-04T00:00:00"/>
    <d v="2025-10-14T00:00:00"/>
    <s v="UPS"/>
    <x v="1"/>
    <x v="0"/>
  </r>
  <r>
    <s v="SHP-40312"/>
    <d v="2024-01-17T00:00:00"/>
    <x v="3"/>
    <x v="8"/>
    <n v="3496"/>
    <x v="311"/>
    <d v="2024-01-19T00:00:00"/>
    <d v="2024-01-21T00:00:00"/>
    <s v="DHL"/>
    <x v="3"/>
    <x v="1"/>
  </r>
  <r>
    <s v="SHP-40313"/>
    <d v="2024-03-06T00:00:00"/>
    <x v="2"/>
    <x v="0"/>
    <n v="3315"/>
    <x v="312"/>
    <d v="2024-03-07T00:00:00"/>
    <d v="2024-04-13T00:00:00"/>
    <s v="FedEx"/>
    <x v="0"/>
    <x v="0"/>
  </r>
  <r>
    <s v="SHP-40314"/>
    <d v="2025-10-09T00:00:00"/>
    <x v="11"/>
    <x v="5"/>
    <n v="1093"/>
    <x v="313"/>
    <d v="2025-10-11T00:00:00"/>
    <d v="2025-10-13T00:00:00"/>
    <s v="UPS"/>
    <x v="1"/>
    <x v="1"/>
  </r>
  <r>
    <s v="SHP-40315"/>
    <d v="2024-03-23T00:00:00"/>
    <x v="4"/>
    <x v="3"/>
    <n v="4916"/>
    <x v="314"/>
    <d v="2024-03-24T00:00:00"/>
    <d v="2024-03-28T00:00:00"/>
    <s v="DHL"/>
    <x v="1"/>
    <x v="1"/>
  </r>
  <r>
    <s v="SHP-40316"/>
    <d v="2025-01-25T00:00:00"/>
    <x v="13"/>
    <x v="3"/>
    <n v="4963"/>
    <x v="315"/>
    <d v="2025-01-26T00:00:00"/>
    <d v="2025-01-28T00:00:00"/>
    <s v="DHL"/>
    <x v="1"/>
    <x v="1"/>
  </r>
  <r>
    <s v="SHP-40317"/>
    <d v="2025-12-07T00:00:00"/>
    <x v="4"/>
    <x v="0"/>
    <n v="1082"/>
    <x v="316"/>
    <d v="2025-12-10T00:00:00"/>
    <d v="2025-12-15T00:00:00"/>
    <s v="UPS"/>
    <x v="3"/>
    <x v="1"/>
  </r>
  <r>
    <s v="SHP-40318"/>
    <d v="2025-12-24T00:00:00"/>
    <x v="3"/>
    <x v="3"/>
    <n v="3522"/>
    <x v="317"/>
    <d v="2025-12-25T00:00:00"/>
    <d v="2025-12-28T00:00:00"/>
    <s v="Local"/>
    <x v="1"/>
    <x v="1"/>
  </r>
  <r>
    <s v="SHP-40319"/>
    <d v="2024-09-17T00:00:00"/>
    <x v="0"/>
    <x v="6"/>
    <n v="679"/>
    <x v="318"/>
    <d v="2024-09-20T00:00:00"/>
    <d v="2024-11-01T00:00:00"/>
    <s v="DHL"/>
    <x v="0"/>
    <x v="0"/>
  </r>
  <r>
    <s v="SHP-40320"/>
    <d v="2025-11-18T00:00:00"/>
    <x v="3"/>
    <x v="7"/>
    <n v="3632"/>
    <x v="319"/>
    <d v="2025-11-20T00:00:00"/>
    <d v="2025-11-24T00:00:00"/>
    <s v="DHL"/>
    <x v="3"/>
    <x v="1"/>
  </r>
  <r>
    <s v="SHP-40321"/>
    <d v="2024-12-10T00:00:00"/>
    <x v="4"/>
    <x v="2"/>
    <n v="2605"/>
    <x v="320"/>
    <d v="2024-12-13T00:00:00"/>
    <d v="2025-01-09T00:00:00"/>
    <s v="FedEx"/>
    <x v="0"/>
    <x v="1"/>
  </r>
  <r>
    <s v="SHP-40322"/>
    <d v="2025-02-21T00:00:00"/>
    <x v="5"/>
    <x v="9"/>
    <n v="64"/>
    <x v="321"/>
    <d v="2025-02-24T00:00:00"/>
    <d v="2025-03-10T00:00:00"/>
    <s v="FedEx"/>
    <x v="2"/>
    <x v="0"/>
  </r>
  <r>
    <s v="SHP-40323"/>
    <d v="2025-06-26T00:00:00"/>
    <x v="7"/>
    <x v="9"/>
    <n v="4329"/>
    <x v="322"/>
    <d v="2025-06-28T00:00:00"/>
    <d v="2025-06-29T00:00:00"/>
    <s v="UPS"/>
    <x v="3"/>
    <x v="1"/>
  </r>
  <r>
    <s v="SHP-40324"/>
    <d v="2024-11-12T00:00:00"/>
    <x v="3"/>
    <x v="3"/>
    <n v="3343"/>
    <x v="323"/>
    <d v="2024-11-13T00:00:00"/>
    <d v="2024-11-14T00:00:00"/>
    <s v="FedEx"/>
    <x v="3"/>
    <x v="1"/>
  </r>
  <r>
    <s v="SHP-40325"/>
    <d v="2025-10-05T00:00:00"/>
    <x v="7"/>
    <x v="4"/>
    <n v="2245"/>
    <x v="324"/>
    <d v="2025-10-08T00:00:00"/>
    <d v="2025-10-18T00:00:00"/>
    <s v="UPS"/>
    <x v="1"/>
    <x v="0"/>
  </r>
  <r>
    <s v="SHP-40326"/>
    <d v="2025-11-06T00:00:00"/>
    <x v="14"/>
    <x v="6"/>
    <n v="2215"/>
    <x v="325"/>
    <d v="2025-11-09T00:00:00"/>
    <d v="2025-11-19T00:00:00"/>
    <s v="UPS"/>
    <x v="1"/>
    <x v="0"/>
  </r>
  <r>
    <s v="SHP-40327"/>
    <d v="2024-01-13T00:00:00"/>
    <x v="0"/>
    <x v="5"/>
    <n v="4315"/>
    <x v="326"/>
    <d v="2024-01-16T00:00:00"/>
    <d v="2024-01-29T00:00:00"/>
    <s v="FedEx"/>
    <x v="2"/>
    <x v="0"/>
  </r>
  <r>
    <s v="SHP-40328"/>
    <d v="2025-02-26T00:00:00"/>
    <x v="1"/>
    <x v="6"/>
    <n v="1583"/>
    <x v="327"/>
    <d v="2025-02-28T00:00:00"/>
    <d v="2025-03-10T00:00:00"/>
    <s v="FedEx"/>
    <x v="1"/>
    <x v="0"/>
  </r>
  <r>
    <s v="SHP-40329"/>
    <d v="2025-09-08T00:00:00"/>
    <x v="13"/>
    <x v="6"/>
    <n v="1916"/>
    <x v="328"/>
    <d v="2025-09-10T00:00:00"/>
    <d v="2025-09-20T00:00:00"/>
    <s v="UPS"/>
    <x v="1"/>
    <x v="0"/>
  </r>
  <r>
    <s v="SHP-40330"/>
    <d v="2025-11-13T00:00:00"/>
    <x v="2"/>
    <x v="2"/>
    <n v="4943"/>
    <x v="329"/>
    <d v="2025-11-15T00:00:00"/>
    <d v="2025-12-15T00:00:00"/>
    <s v="UPS"/>
    <x v="0"/>
    <x v="1"/>
  </r>
  <r>
    <s v="SHP-40331"/>
    <d v="2025-02-02T00:00:00"/>
    <x v="10"/>
    <x v="2"/>
    <n v="191"/>
    <x v="330"/>
    <d v="2025-02-05T00:00:00"/>
    <d v="2025-02-10T00:00:00"/>
    <s v="FedEx"/>
    <x v="1"/>
    <x v="1"/>
  </r>
  <r>
    <s v="SHP-40332"/>
    <d v="2024-01-11T00:00:00"/>
    <x v="3"/>
    <x v="2"/>
    <n v="787"/>
    <x v="331"/>
    <d v="2024-01-14T00:00:00"/>
    <d v="2024-01-25T00:00:00"/>
    <s v="Local"/>
    <x v="2"/>
    <x v="1"/>
  </r>
  <r>
    <s v="SHP-40333"/>
    <d v="2024-11-03T00:00:00"/>
    <x v="6"/>
    <x v="7"/>
    <n v="4573"/>
    <x v="332"/>
    <d v="2024-11-04T00:00:00"/>
    <d v="2024-11-10T00:00:00"/>
    <s v="Local"/>
    <x v="1"/>
    <x v="1"/>
  </r>
  <r>
    <s v="SHP-40334"/>
    <d v="2025-03-23T00:00:00"/>
    <x v="11"/>
    <x v="0"/>
    <n v="4011"/>
    <x v="333"/>
    <d v="2025-03-26T00:00:00"/>
    <d v="2025-03-31T00:00:00"/>
    <s v="FedEx"/>
    <x v="1"/>
    <x v="1"/>
  </r>
  <r>
    <s v="SHP-40335"/>
    <d v="2025-04-04T00:00:00"/>
    <x v="3"/>
    <x v="5"/>
    <n v="777"/>
    <x v="334"/>
    <d v="2025-04-05T00:00:00"/>
    <d v="2025-04-15T00:00:00"/>
    <s v="UPS"/>
    <x v="1"/>
    <x v="0"/>
  </r>
  <r>
    <s v="SHP-40336"/>
    <d v="2025-07-13T00:00:00"/>
    <x v="1"/>
    <x v="2"/>
    <n v="1431"/>
    <x v="335"/>
    <d v="2025-07-14T00:00:00"/>
    <d v="2025-07-21T00:00:00"/>
    <s v="FedEx"/>
    <x v="2"/>
    <x v="1"/>
  </r>
  <r>
    <s v="SHP-40337"/>
    <d v="2025-09-04T00:00:00"/>
    <x v="8"/>
    <x v="2"/>
    <n v="1402"/>
    <x v="336"/>
    <d v="2025-09-05T00:00:00"/>
    <d v="2025-09-07T00:00:00"/>
    <s v="UPS"/>
    <x v="3"/>
    <x v="1"/>
  </r>
  <r>
    <s v="SHP-40338"/>
    <d v="2025-10-14T00:00:00"/>
    <x v="13"/>
    <x v="3"/>
    <n v="1519"/>
    <x v="337"/>
    <d v="2025-10-17T00:00:00"/>
    <d v="2025-11-01T00:00:00"/>
    <s v="UPS"/>
    <x v="2"/>
    <x v="0"/>
  </r>
  <r>
    <s v="SHP-40339"/>
    <d v="2024-01-18T00:00:00"/>
    <x v="4"/>
    <x v="0"/>
    <n v="1106"/>
    <x v="338"/>
    <d v="2024-01-19T00:00:00"/>
    <d v="2024-01-21T00:00:00"/>
    <s v="FedEx"/>
    <x v="1"/>
    <x v="1"/>
  </r>
  <r>
    <s v="SHP-40340"/>
    <d v="2024-07-15T00:00:00"/>
    <x v="13"/>
    <x v="9"/>
    <n v="88"/>
    <x v="339"/>
    <d v="2024-07-16T00:00:00"/>
    <d v="2024-07-31T00:00:00"/>
    <s v="UPS"/>
    <x v="2"/>
    <x v="0"/>
  </r>
  <r>
    <s v="SHP-40341"/>
    <d v="2024-12-19T00:00:00"/>
    <x v="14"/>
    <x v="7"/>
    <n v="1776"/>
    <x v="340"/>
    <d v="2024-12-22T00:00:00"/>
    <d v="2024-12-25T00:00:00"/>
    <s v="FedEx"/>
    <x v="1"/>
    <x v="1"/>
  </r>
  <r>
    <s v="SHP-40342"/>
    <d v="2025-10-29T00:00:00"/>
    <x v="0"/>
    <x v="1"/>
    <n v="1013"/>
    <x v="341"/>
    <d v="2025-11-01T00:00:00"/>
    <d v="2025-11-08T00:00:00"/>
    <s v="UPS"/>
    <x v="1"/>
    <x v="1"/>
  </r>
  <r>
    <s v="SHP-40343"/>
    <d v="2025-07-25T00:00:00"/>
    <x v="1"/>
    <x v="8"/>
    <n v="2781"/>
    <x v="342"/>
    <d v="2025-07-26T00:00:00"/>
    <d v="2025-08-09T00:00:00"/>
    <s v="DHL"/>
    <x v="0"/>
    <x v="1"/>
  </r>
  <r>
    <s v="SHP-40344"/>
    <d v="2024-11-11T00:00:00"/>
    <x v="4"/>
    <x v="8"/>
    <n v="1877"/>
    <x v="343"/>
    <d v="2024-11-12T00:00:00"/>
    <d v="2024-11-25T00:00:00"/>
    <s v="DHL"/>
    <x v="2"/>
    <x v="0"/>
  </r>
  <r>
    <s v="SHP-40345"/>
    <d v="2025-10-15T00:00:00"/>
    <x v="10"/>
    <x v="7"/>
    <n v="1540"/>
    <x v="344"/>
    <d v="2025-10-18T00:00:00"/>
    <d v="2025-10-20T00:00:00"/>
    <s v="FedEx"/>
    <x v="3"/>
    <x v="1"/>
  </r>
  <r>
    <s v="SHP-40346"/>
    <d v="2024-05-20T00:00:00"/>
    <x v="10"/>
    <x v="8"/>
    <n v="4688"/>
    <x v="345"/>
    <d v="2024-05-23T00:00:00"/>
    <d v="2024-06-01T00:00:00"/>
    <s v="UPS"/>
    <x v="2"/>
    <x v="1"/>
  </r>
  <r>
    <s v="SHP-40347"/>
    <d v="2025-09-07T00:00:00"/>
    <x v="12"/>
    <x v="8"/>
    <n v="3913"/>
    <x v="346"/>
    <d v="2025-09-09T00:00:00"/>
    <d v="2025-09-12T00:00:00"/>
    <s v="UPS"/>
    <x v="1"/>
    <x v="1"/>
  </r>
  <r>
    <s v="SHP-40348"/>
    <d v="2024-08-16T00:00:00"/>
    <x v="14"/>
    <x v="7"/>
    <n v="3075"/>
    <x v="347"/>
    <d v="2024-08-17T00:00:00"/>
    <d v="2024-08-21T00:00:00"/>
    <s v="FedEx"/>
    <x v="3"/>
    <x v="1"/>
  </r>
  <r>
    <s v="SHP-40349"/>
    <d v="2025-07-18T00:00:00"/>
    <x v="6"/>
    <x v="4"/>
    <n v="1086"/>
    <x v="348"/>
    <d v="2025-07-21T00:00:00"/>
    <d v="2025-07-25T00:00:00"/>
    <s v="FedEx"/>
    <x v="1"/>
    <x v="1"/>
  </r>
  <r>
    <s v="SHP-40350"/>
    <d v="2024-11-18T00:00:00"/>
    <x v="2"/>
    <x v="5"/>
    <n v="1566"/>
    <x v="349"/>
    <d v="2024-11-21T00:00:00"/>
    <d v="2024-11-29T00:00:00"/>
    <s v="Local"/>
    <x v="2"/>
    <x v="1"/>
  </r>
  <r>
    <s v="SHP-40351"/>
    <d v="2025-12-03T00:00:00"/>
    <x v="7"/>
    <x v="8"/>
    <n v="814"/>
    <x v="350"/>
    <d v="2025-12-04T00:00:00"/>
    <d v="2025-12-07T00:00:00"/>
    <s v="DHL"/>
    <x v="1"/>
    <x v="1"/>
  </r>
  <r>
    <s v="SHP-40352"/>
    <d v="2024-06-23T00:00:00"/>
    <x v="6"/>
    <x v="9"/>
    <n v="778"/>
    <x v="351"/>
    <d v="2024-06-24T00:00:00"/>
    <d v="2024-06-30T00:00:00"/>
    <s v="DHL"/>
    <x v="2"/>
    <x v="1"/>
  </r>
  <r>
    <s v="SHP-40353"/>
    <d v="2024-07-17T00:00:00"/>
    <x v="10"/>
    <x v="0"/>
    <n v="1221"/>
    <x v="352"/>
    <d v="2024-07-18T00:00:00"/>
    <d v="2024-07-23T00:00:00"/>
    <s v="UPS"/>
    <x v="1"/>
    <x v="1"/>
  </r>
  <r>
    <s v="SHP-40354"/>
    <d v="2025-11-25T00:00:00"/>
    <x v="0"/>
    <x v="4"/>
    <n v="1604"/>
    <x v="353"/>
    <d v="2025-11-27T00:00:00"/>
    <d v="2025-12-03T00:00:00"/>
    <s v="Local"/>
    <x v="1"/>
    <x v="1"/>
  </r>
  <r>
    <s v="SHP-40355"/>
    <d v="2025-11-09T00:00:00"/>
    <x v="14"/>
    <x v="9"/>
    <n v="4962"/>
    <x v="354"/>
    <d v="2025-11-12T00:00:00"/>
    <d v="2025-11-14T00:00:00"/>
    <s v="UPS"/>
    <x v="3"/>
    <x v="1"/>
  </r>
  <r>
    <s v="SHP-40356"/>
    <d v="2024-11-18T00:00:00"/>
    <x v="10"/>
    <x v="0"/>
    <n v="2818"/>
    <x v="355"/>
    <d v="2024-11-21T00:00:00"/>
    <d v="2024-11-23T00:00:00"/>
    <s v="UPS"/>
    <x v="3"/>
    <x v="1"/>
  </r>
  <r>
    <s v="SHP-40357"/>
    <d v="2024-03-09T00:00:00"/>
    <x v="6"/>
    <x v="3"/>
    <n v="926"/>
    <x v="356"/>
    <d v="2024-03-12T00:00:00"/>
    <d v="2024-03-19T00:00:00"/>
    <s v="UPS"/>
    <x v="1"/>
    <x v="1"/>
  </r>
  <r>
    <s v="SHP-40358"/>
    <d v="2025-07-02T00:00:00"/>
    <x v="4"/>
    <x v="4"/>
    <n v="2269"/>
    <x v="357"/>
    <d v="2025-07-05T00:00:00"/>
    <d v="2025-07-12T00:00:00"/>
    <s v="FedEx"/>
    <x v="1"/>
    <x v="1"/>
  </r>
  <r>
    <s v="SHP-40359"/>
    <d v="2024-05-02T00:00:00"/>
    <x v="9"/>
    <x v="6"/>
    <n v="142"/>
    <x v="358"/>
    <d v="2024-05-05T00:00:00"/>
    <d v="2024-06-03T00:00:00"/>
    <s v="UPS"/>
    <x v="0"/>
    <x v="1"/>
  </r>
  <r>
    <s v="SHP-40360"/>
    <d v="2025-02-05T00:00:00"/>
    <x v="10"/>
    <x v="1"/>
    <n v="2488"/>
    <x v="359"/>
    <d v="2025-02-08T00:00:00"/>
    <d v="2025-02-17T00:00:00"/>
    <s v="DHL"/>
    <x v="1"/>
    <x v="0"/>
  </r>
  <r>
    <s v="SHP-40361"/>
    <d v="2024-04-07T00:00:00"/>
    <x v="4"/>
    <x v="0"/>
    <n v="2404"/>
    <x v="360"/>
    <d v="2024-04-09T00:00:00"/>
    <d v="2024-04-13T00:00:00"/>
    <s v="FedEx"/>
    <x v="1"/>
    <x v="1"/>
  </r>
  <r>
    <s v="SHP-40362"/>
    <d v="2024-01-09T00:00:00"/>
    <x v="12"/>
    <x v="8"/>
    <n v="4960"/>
    <x v="361"/>
    <d v="2024-01-10T00:00:00"/>
    <d v="2024-01-15T00:00:00"/>
    <s v="Local"/>
    <x v="1"/>
    <x v="1"/>
  </r>
  <r>
    <s v="SHP-40363"/>
    <d v="2024-03-31T00:00:00"/>
    <x v="2"/>
    <x v="4"/>
    <n v="475"/>
    <x v="362"/>
    <d v="2024-04-02T00:00:00"/>
    <d v="2024-04-09T00:00:00"/>
    <s v="UPS"/>
    <x v="2"/>
    <x v="1"/>
  </r>
  <r>
    <s v="SHP-40364"/>
    <d v="2024-12-31T00:00:00"/>
    <x v="12"/>
    <x v="9"/>
    <n v="3607"/>
    <x v="363"/>
    <d v="2025-01-01T00:00:00"/>
    <d v="2025-01-06T00:00:00"/>
    <s v="FedEx"/>
    <x v="2"/>
    <x v="1"/>
  </r>
  <r>
    <s v="SHP-40365"/>
    <d v="2025-06-09T00:00:00"/>
    <x v="14"/>
    <x v="2"/>
    <n v="78"/>
    <x v="364"/>
    <d v="2025-06-12T00:00:00"/>
    <d v="2025-06-14T00:00:00"/>
    <s v="DHL"/>
    <x v="3"/>
    <x v="1"/>
  </r>
  <r>
    <s v="SHP-40366"/>
    <d v="2024-09-19T00:00:00"/>
    <x v="13"/>
    <x v="5"/>
    <n v="228"/>
    <x v="365"/>
    <d v="2024-09-21T00:00:00"/>
    <d v="2024-09-23T00:00:00"/>
    <s v="FedEx"/>
    <x v="1"/>
    <x v="1"/>
  </r>
  <r>
    <s v="SHP-40367"/>
    <d v="2024-03-15T00:00:00"/>
    <x v="9"/>
    <x v="8"/>
    <n v="1992"/>
    <x v="366"/>
    <d v="2024-03-17T00:00:00"/>
    <d v="2024-03-22T00:00:00"/>
    <s v="DHL"/>
    <x v="1"/>
    <x v="1"/>
  </r>
  <r>
    <s v="SHP-40368"/>
    <d v="2025-06-01T00:00:00"/>
    <x v="2"/>
    <x v="0"/>
    <n v="3046"/>
    <x v="367"/>
    <d v="2025-06-03T00:00:00"/>
    <d v="2025-06-17T00:00:00"/>
    <s v="UPS"/>
    <x v="2"/>
    <x v="0"/>
  </r>
  <r>
    <s v="SHP-40369"/>
    <d v="2025-05-16T00:00:00"/>
    <x v="12"/>
    <x v="7"/>
    <n v="1354"/>
    <x v="368"/>
    <d v="2025-05-17T00:00:00"/>
    <d v="2025-05-25T00:00:00"/>
    <s v="FedEx"/>
    <x v="1"/>
    <x v="1"/>
  </r>
  <r>
    <s v="SHP-40370"/>
    <d v="2024-03-19T00:00:00"/>
    <x v="3"/>
    <x v="6"/>
    <n v="1755"/>
    <x v="369"/>
    <d v="2024-03-21T00:00:00"/>
    <d v="2024-03-29T00:00:00"/>
    <s v="FedEx"/>
    <x v="2"/>
    <x v="1"/>
  </r>
  <r>
    <s v="SHP-40371"/>
    <d v="2024-10-21T00:00:00"/>
    <x v="10"/>
    <x v="4"/>
    <n v="944"/>
    <x v="370"/>
    <d v="2024-10-22T00:00:00"/>
    <d v="2024-10-29T00:00:00"/>
    <s v="Local"/>
    <x v="1"/>
    <x v="1"/>
  </r>
  <r>
    <s v="SHP-40372"/>
    <d v="2025-02-19T00:00:00"/>
    <x v="2"/>
    <x v="7"/>
    <n v="3800"/>
    <x v="371"/>
    <d v="2025-02-22T00:00:00"/>
    <d v="2025-02-24T00:00:00"/>
    <s v="FedEx"/>
    <x v="3"/>
    <x v="1"/>
  </r>
  <r>
    <s v="SHP-40373"/>
    <d v="2025-08-17T00:00:00"/>
    <x v="1"/>
    <x v="6"/>
    <n v="3430"/>
    <x v="372"/>
    <d v="2025-08-19T00:00:00"/>
    <d v="2025-08-29T00:00:00"/>
    <s v="UPS"/>
    <x v="1"/>
    <x v="0"/>
  </r>
  <r>
    <s v="SHP-40374"/>
    <d v="2025-02-10T00:00:00"/>
    <x v="0"/>
    <x v="8"/>
    <n v="629"/>
    <x v="373"/>
    <d v="2025-02-13T00:00:00"/>
    <d v="2025-02-23T00:00:00"/>
    <s v="FedEx"/>
    <x v="1"/>
    <x v="0"/>
  </r>
  <r>
    <s v="SHP-40375"/>
    <d v="2025-11-12T00:00:00"/>
    <x v="13"/>
    <x v="2"/>
    <n v="3754"/>
    <x v="374"/>
    <d v="2025-11-15T00:00:00"/>
    <d v="2025-11-19T00:00:00"/>
    <s v="FedEx"/>
    <x v="1"/>
    <x v="1"/>
  </r>
  <r>
    <s v="SHP-40376"/>
    <d v="2025-03-29T00:00:00"/>
    <x v="5"/>
    <x v="2"/>
    <n v="3135"/>
    <x v="375"/>
    <d v="2025-04-01T00:00:00"/>
    <d v="2025-04-10T00:00:00"/>
    <s v="DHL"/>
    <x v="1"/>
    <x v="0"/>
  </r>
  <r>
    <s v="SHP-40377"/>
    <d v="2024-10-12T00:00:00"/>
    <x v="12"/>
    <x v="3"/>
    <n v="1397"/>
    <x v="376"/>
    <d v="2024-10-13T00:00:00"/>
    <d v="2024-10-16T00:00:00"/>
    <s v="FedEx"/>
    <x v="1"/>
    <x v="1"/>
  </r>
  <r>
    <s v="SHP-40378"/>
    <d v="2025-09-10T00:00:00"/>
    <x v="14"/>
    <x v="3"/>
    <n v="2207"/>
    <x v="377"/>
    <d v="2025-09-13T00:00:00"/>
    <d v="2025-09-20T00:00:00"/>
    <s v="UPS"/>
    <x v="1"/>
    <x v="1"/>
  </r>
  <r>
    <s v="SHP-40379"/>
    <d v="2025-05-01T00:00:00"/>
    <x v="14"/>
    <x v="0"/>
    <n v="4666"/>
    <x v="378"/>
    <d v="2025-05-04T00:00:00"/>
    <d v="2025-05-05T00:00:00"/>
    <s v="DHL"/>
    <x v="3"/>
    <x v="1"/>
  </r>
  <r>
    <s v="SHP-40380"/>
    <d v="2025-11-24T00:00:00"/>
    <x v="9"/>
    <x v="2"/>
    <n v="1455"/>
    <x v="379"/>
    <d v="2025-11-27T00:00:00"/>
    <d v="2025-12-04T00:00:00"/>
    <s v="UPS"/>
    <x v="1"/>
    <x v="1"/>
  </r>
  <r>
    <s v="SHP-40381"/>
    <d v="2025-10-31T00:00:00"/>
    <x v="4"/>
    <x v="5"/>
    <n v="4319"/>
    <x v="380"/>
    <d v="2025-11-02T00:00:00"/>
    <d v="2025-11-06T00:00:00"/>
    <s v="UPS"/>
    <x v="1"/>
    <x v="1"/>
  </r>
  <r>
    <s v="SHP-40382"/>
    <d v="2024-02-09T00:00:00"/>
    <x v="14"/>
    <x v="3"/>
    <n v="4663"/>
    <x v="381"/>
    <d v="2024-02-10T00:00:00"/>
    <d v="2024-02-13T00:00:00"/>
    <s v="UPS"/>
    <x v="1"/>
    <x v="1"/>
  </r>
  <r>
    <s v="SHP-40383"/>
    <d v="2025-03-12T00:00:00"/>
    <x v="2"/>
    <x v="0"/>
    <n v="3239"/>
    <x v="382"/>
    <d v="2025-03-15T00:00:00"/>
    <d v="2025-03-21T00:00:00"/>
    <s v="FedEx"/>
    <x v="1"/>
    <x v="1"/>
  </r>
  <r>
    <s v="SHP-40384"/>
    <d v="2025-04-25T00:00:00"/>
    <x v="0"/>
    <x v="4"/>
    <n v="3878"/>
    <x v="383"/>
    <d v="2025-04-27T00:00:00"/>
    <d v="2025-04-30T00:00:00"/>
    <s v="UPS"/>
    <x v="3"/>
    <x v="1"/>
  </r>
  <r>
    <s v="SHP-40385"/>
    <d v="2024-06-09T00:00:00"/>
    <x v="7"/>
    <x v="4"/>
    <n v="2289"/>
    <x v="384"/>
    <d v="2024-06-12T00:00:00"/>
    <d v="2024-07-24T00:00:00"/>
    <s v="DHL"/>
    <x v="0"/>
    <x v="0"/>
  </r>
  <r>
    <s v="SHP-40386"/>
    <d v="2024-12-26T00:00:00"/>
    <x v="4"/>
    <x v="1"/>
    <n v="4118"/>
    <x v="385"/>
    <d v="2024-12-29T00:00:00"/>
    <d v="2025-01-06T00:00:00"/>
    <s v="FedEx"/>
    <x v="1"/>
    <x v="1"/>
  </r>
  <r>
    <s v="SHP-40387"/>
    <d v="2024-02-28T00:00:00"/>
    <x v="13"/>
    <x v="9"/>
    <n v="287"/>
    <x v="386"/>
    <d v="2024-03-01T00:00:00"/>
    <d v="2024-03-05T00:00:00"/>
    <s v="DHL"/>
    <x v="1"/>
    <x v="1"/>
  </r>
  <r>
    <s v="SHP-40388"/>
    <d v="2024-12-16T00:00:00"/>
    <x v="13"/>
    <x v="0"/>
    <n v="2754"/>
    <x v="387"/>
    <d v="2024-12-17T00:00:00"/>
    <d v="2024-12-21T00:00:00"/>
    <s v="UPS"/>
    <x v="1"/>
    <x v="1"/>
  </r>
  <r>
    <s v="SHP-40389"/>
    <d v="2024-12-23T00:00:00"/>
    <x v="9"/>
    <x v="0"/>
    <n v="3376"/>
    <x v="388"/>
    <d v="2024-12-25T00:00:00"/>
    <d v="2025-01-03T00:00:00"/>
    <s v="DHL"/>
    <x v="1"/>
    <x v="0"/>
  </r>
  <r>
    <s v="SHP-40390"/>
    <d v="2024-10-31T00:00:00"/>
    <x v="0"/>
    <x v="3"/>
    <n v="2750"/>
    <x v="389"/>
    <d v="2024-11-03T00:00:00"/>
    <d v="2024-11-27T00:00:00"/>
    <s v="UPS"/>
    <x v="0"/>
    <x v="1"/>
  </r>
  <r>
    <s v="SHP-40391"/>
    <d v="2025-05-14T00:00:00"/>
    <x v="14"/>
    <x v="6"/>
    <n v="2008"/>
    <x v="390"/>
    <d v="2025-05-15T00:00:00"/>
    <d v="2025-05-20T00:00:00"/>
    <s v="UPS"/>
    <x v="1"/>
    <x v="1"/>
  </r>
  <r>
    <s v="SHP-40392"/>
    <d v="2025-09-27T00:00:00"/>
    <x v="11"/>
    <x v="8"/>
    <n v="457"/>
    <x v="391"/>
    <d v="2025-09-29T00:00:00"/>
    <d v="2025-10-15T00:00:00"/>
    <s v="UPS"/>
    <x v="0"/>
    <x v="1"/>
  </r>
  <r>
    <s v="SHP-40393"/>
    <d v="2025-12-29T00:00:00"/>
    <x v="10"/>
    <x v="0"/>
    <n v="1122"/>
    <x v="392"/>
    <d v="2025-12-31T00:00:00"/>
    <d v="2026-01-06T00:00:00"/>
    <s v="FedEx"/>
    <x v="2"/>
    <x v="1"/>
  </r>
  <r>
    <s v="SHP-40394"/>
    <d v="2025-02-25T00:00:00"/>
    <x v="6"/>
    <x v="5"/>
    <n v="2477"/>
    <x v="393"/>
    <d v="2025-02-26T00:00:00"/>
    <d v="2025-03-07T00:00:00"/>
    <s v="UPS"/>
    <x v="1"/>
    <x v="0"/>
  </r>
  <r>
    <s v="SHP-40395"/>
    <d v="2025-12-16T00:00:00"/>
    <x v="11"/>
    <x v="7"/>
    <n v="3345"/>
    <x v="394"/>
    <d v="2025-12-18T00:00:00"/>
    <d v="2025-12-23T00:00:00"/>
    <s v="FedEx"/>
    <x v="1"/>
    <x v="1"/>
  </r>
  <r>
    <s v="SHP-40396"/>
    <d v="2024-04-17T00:00:00"/>
    <x v="3"/>
    <x v="3"/>
    <n v="3302"/>
    <x v="395"/>
    <d v="2024-04-20T00:00:00"/>
    <d v="2024-04-30T00:00:00"/>
    <s v="UPS"/>
    <x v="2"/>
    <x v="1"/>
  </r>
  <r>
    <s v="SHP-40397"/>
    <d v="2025-01-23T00:00:00"/>
    <x v="1"/>
    <x v="7"/>
    <n v="3973"/>
    <x v="396"/>
    <d v="2025-01-25T00:00:00"/>
    <d v="2025-02-02T00:00:00"/>
    <s v="FedEx"/>
    <x v="1"/>
    <x v="1"/>
  </r>
  <r>
    <s v="SHP-40398"/>
    <d v="2024-09-03T00:00:00"/>
    <x v="5"/>
    <x v="8"/>
    <n v="3011"/>
    <x v="397"/>
    <d v="2024-09-05T00:00:00"/>
    <d v="2024-09-17T00:00:00"/>
    <s v="UPS"/>
    <x v="2"/>
    <x v="1"/>
  </r>
  <r>
    <s v="SHP-40399"/>
    <d v="2025-09-25T00:00:00"/>
    <x v="4"/>
    <x v="6"/>
    <n v="2765"/>
    <x v="398"/>
    <d v="2025-09-28T00:00:00"/>
    <d v="2025-10-01T00:00:00"/>
    <s v="FedEx"/>
    <x v="3"/>
    <x v="1"/>
  </r>
  <r>
    <s v="SHP-40400"/>
    <d v="2025-01-07T00:00:00"/>
    <x v="4"/>
    <x v="7"/>
    <n v="3485"/>
    <x v="399"/>
    <d v="2025-01-10T00:00:00"/>
    <d v="2025-01-18T00:00:00"/>
    <s v="UPS"/>
    <x v="1"/>
    <x v="1"/>
  </r>
  <r>
    <s v="SHP-40401"/>
    <d v="2025-07-29T00:00:00"/>
    <x v="11"/>
    <x v="4"/>
    <n v="4771"/>
    <x v="400"/>
    <d v="2025-07-30T00:00:00"/>
    <d v="2025-07-31T00:00:00"/>
    <s v="DHL"/>
    <x v="3"/>
    <x v="1"/>
  </r>
  <r>
    <s v="SHP-40402"/>
    <d v="2024-08-14T00:00:00"/>
    <x v="4"/>
    <x v="0"/>
    <n v="4367"/>
    <x v="401"/>
    <d v="2024-08-15T00:00:00"/>
    <d v="2024-08-21T00:00:00"/>
    <s v="UPS"/>
    <x v="1"/>
    <x v="1"/>
  </r>
  <r>
    <s v="SHP-40403"/>
    <d v="2024-09-15T00:00:00"/>
    <x v="1"/>
    <x v="4"/>
    <n v="2046"/>
    <x v="402"/>
    <d v="2024-09-16T00:00:00"/>
    <d v="2024-09-18T00:00:00"/>
    <s v="UPS"/>
    <x v="1"/>
    <x v="1"/>
  </r>
  <r>
    <s v="SHP-40404"/>
    <d v="2024-01-17T00:00:00"/>
    <x v="13"/>
    <x v="9"/>
    <n v="2172"/>
    <x v="403"/>
    <d v="2024-01-19T00:00:00"/>
    <d v="2024-02-12T00:00:00"/>
    <s v="FedEx"/>
    <x v="0"/>
    <x v="1"/>
  </r>
  <r>
    <s v="SHP-40405"/>
    <d v="2024-07-05T00:00:00"/>
    <x v="10"/>
    <x v="6"/>
    <n v="4237"/>
    <x v="404"/>
    <d v="2024-07-08T00:00:00"/>
    <d v="2024-07-18T00:00:00"/>
    <s v="FedEx"/>
    <x v="1"/>
    <x v="0"/>
  </r>
  <r>
    <s v="SHP-40406"/>
    <d v="2025-05-24T00:00:00"/>
    <x v="4"/>
    <x v="5"/>
    <n v="166"/>
    <x v="405"/>
    <d v="2025-05-26T00:00:00"/>
    <d v="2025-06-05T00:00:00"/>
    <s v="UPS"/>
    <x v="1"/>
    <x v="0"/>
  </r>
  <r>
    <s v="SHP-40407"/>
    <d v="2025-11-02T00:00:00"/>
    <x v="1"/>
    <x v="9"/>
    <n v="829"/>
    <x v="406"/>
    <d v="2025-11-04T00:00:00"/>
    <d v="2025-11-11T00:00:00"/>
    <s v="UPS"/>
    <x v="2"/>
    <x v="1"/>
  </r>
  <r>
    <s v="SHP-40408"/>
    <d v="2025-09-28T00:00:00"/>
    <x v="8"/>
    <x v="2"/>
    <n v="3304"/>
    <x v="407"/>
    <d v="2025-09-29T00:00:00"/>
    <d v="2025-10-06T00:00:00"/>
    <s v="DHL"/>
    <x v="1"/>
    <x v="1"/>
  </r>
  <r>
    <s v="SHP-40409"/>
    <d v="2024-09-12T00:00:00"/>
    <x v="0"/>
    <x v="2"/>
    <n v="3976"/>
    <x v="408"/>
    <d v="2024-09-15T00:00:00"/>
    <d v="2024-09-16T00:00:00"/>
    <s v="FedEx"/>
    <x v="3"/>
    <x v="1"/>
  </r>
  <r>
    <s v="SHP-40410"/>
    <d v="2025-08-15T00:00:00"/>
    <x v="1"/>
    <x v="1"/>
    <n v="4253"/>
    <x v="409"/>
    <d v="2025-08-17T00:00:00"/>
    <d v="2025-08-21T00:00:00"/>
    <s v="FedEx"/>
    <x v="1"/>
    <x v="1"/>
  </r>
  <r>
    <s v="SHP-40411"/>
    <d v="2025-09-22T00:00:00"/>
    <x v="4"/>
    <x v="5"/>
    <n v="1915"/>
    <x v="410"/>
    <d v="2025-09-23T00:00:00"/>
    <d v="2025-09-28T00:00:00"/>
    <s v="UPS"/>
    <x v="1"/>
    <x v="1"/>
  </r>
  <r>
    <s v="SHP-40412"/>
    <d v="2025-01-03T00:00:00"/>
    <x v="10"/>
    <x v="9"/>
    <n v="3787"/>
    <x v="411"/>
    <d v="2025-01-06T00:00:00"/>
    <d v="2025-01-12T00:00:00"/>
    <s v="UPS"/>
    <x v="1"/>
    <x v="1"/>
  </r>
  <r>
    <s v="SHP-40413"/>
    <d v="2025-08-18T00:00:00"/>
    <x v="9"/>
    <x v="2"/>
    <n v="612"/>
    <x v="412"/>
    <d v="2025-08-20T00:00:00"/>
    <d v="2025-09-03T00:00:00"/>
    <s v="FedEx"/>
    <x v="2"/>
    <x v="0"/>
  </r>
  <r>
    <s v="SHP-40414"/>
    <d v="2024-11-29T00:00:00"/>
    <x v="1"/>
    <x v="3"/>
    <n v="4629"/>
    <x v="413"/>
    <d v="2024-11-30T00:00:00"/>
    <d v="2024-12-06T00:00:00"/>
    <s v="UPS"/>
    <x v="1"/>
    <x v="1"/>
  </r>
  <r>
    <s v="SHP-40415"/>
    <d v="2024-07-10T00:00:00"/>
    <x v="6"/>
    <x v="7"/>
    <n v="4614"/>
    <x v="414"/>
    <d v="2024-07-11T00:00:00"/>
    <d v="2024-07-20T00:00:00"/>
    <s v="FedEx"/>
    <x v="1"/>
    <x v="0"/>
  </r>
  <r>
    <s v="SHP-40416"/>
    <d v="2024-11-18T00:00:00"/>
    <x v="6"/>
    <x v="9"/>
    <n v="1966"/>
    <x v="415"/>
    <d v="2024-11-20T00:00:00"/>
    <d v="2024-12-21T00:00:00"/>
    <s v="DHL"/>
    <x v="0"/>
    <x v="1"/>
  </r>
  <r>
    <s v="SHP-40417"/>
    <d v="2025-04-23T00:00:00"/>
    <x v="13"/>
    <x v="3"/>
    <n v="3878"/>
    <x v="416"/>
    <d v="2025-04-24T00:00:00"/>
    <d v="2025-04-25T00:00:00"/>
    <s v="UPS"/>
    <x v="3"/>
    <x v="1"/>
  </r>
  <r>
    <s v="SHP-40418"/>
    <d v="2024-04-19T00:00:00"/>
    <x v="12"/>
    <x v="7"/>
    <n v="4501"/>
    <x v="417"/>
    <d v="2024-04-20T00:00:00"/>
    <d v="2024-05-07T00:00:00"/>
    <s v="DHL"/>
    <x v="0"/>
    <x v="1"/>
  </r>
  <r>
    <s v="SHP-40419"/>
    <d v="2024-11-20T00:00:00"/>
    <x v="11"/>
    <x v="2"/>
    <n v="4636"/>
    <x v="418"/>
    <d v="2024-11-23T00:00:00"/>
    <d v="2024-12-02T00:00:00"/>
    <s v="UPS"/>
    <x v="2"/>
    <x v="1"/>
  </r>
  <r>
    <s v="SHP-40420"/>
    <d v="2025-10-02T00:00:00"/>
    <x v="9"/>
    <x v="1"/>
    <n v="2642"/>
    <x v="419"/>
    <d v="2025-10-04T00:00:00"/>
    <d v="2025-10-14T00:00:00"/>
    <s v="UPS"/>
    <x v="1"/>
    <x v="0"/>
  </r>
  <r>
    <s v="SHP-40421"/>
    <d v="2024-03-24T00:00:00"/>
    <x v="0"/>
    <x v="7"/>
    <n v="2956"/>
    <x v="420"/>
    <d v="2024-03-26T00:00:00"/>
    <d v="2024-04-17T00:00:00"/>
    <s v="UPS"/>
    <x v="0"/>
    <x v="1"/>
  </r>
  <r>
    <s v="SHP-40422"/>
    <d v="2024-09-14T00:00:00"/>
    <x v="6"/>
    <x v="6"/>
    <n v="2043"/>
    <x v="421"/>
    <d v="2024-09-16T00:00:00"/>
    <d v="2024-09-18T00:00:00"/>
    <s v="FedEx"/>
    <x v="3"/>
    <x v="1"/>
  </r>
  <r>
    <s v="SHP-40423"/>
    <d v="2024-03-16T00:00:00"/>
    <x v="5"/>
    <x v="8"/>
    <n v="276"/>
    <x v="422"/>
    <d v="2024-03-19T00:00:00"/>
    <d v="2024-04-08T00:00:00"/>
    <s v="UPS"/>
    <x v="0"/>
    <x v="1"/>
  </r>
  <r>
    <s v="SHP-40424"/>
    <d v="2024-09-20T00:00:00"/>
    <x v="9"/>
    <x v="8"/>
    <n v="3102"/>
    <x v="423"/>
    <d v="2024-09-23T00:00:00"/>
    <d v="2024-10-01T00:00:00"/>
    <s v="UPS"/>
    <x v="1"/>
    <x v="1"/>
  </r>
  <r>
    <s v="SHP-40425"/>
    <d v="2024-12-09T00:00:00"/>
    <x v="6"/>
    <x v="1"/>
    <n v="1226"/>
    <x v="424"/>
    <d v="2024-12-10T00:00:00"/>
    <d v="2024-12-17T00:00:00"/>
    <s v="Local"/>
    <x v="1"/>
    <x v="1"/>
  </r>
  <r>
    <s v="SHP-40426"/>
    <d v="2024-05-26T00:00:00"/>
    <x v="8"/>
    <x v="2"/>
    <n v="1272"/>
    <x v="425"/>
    <d v="2024-05-29T00:00:00"/>
    <d v="2024-06-03T00:00:00"/>
    <s v="FedEx"/>
    <x v="1"/>
    <x v="1"/>
  </r>
  <r>
    <s v="SHP-40427"/>
    <d v="2024-12-05T00:00:00"/>
    <x v="1"/>
    <x v="8"/>
    <n v="928"/>
    <x v="426"/>
    <d v="2024-12-08T00:00:00"/>
    <d v="2024-12-29T00:00:00"/>
    <s v="UPS"/>
    <x v="0"/>
    <x v="1"/>
  </r>
  <r>
    <s v="SHP-40428"/>
    <d v="2024-05-07T00:00:00"/>
    <x v="4"/>
    <x v="7"/>
    <n v="789"/>
    <x v="427"/>
    <d v="2024-05-10T00:00:00"/>
    <d v="2024-05-16T00:00:00"/>
    <s v="DHL"/>
    <x v="1"/>
    <x v="1"/>
  </r>
  <r>
    <s v="SHP-40429"/>
    <d v="2025-04-25T00:00:00"/>
    <x v="8"/>
    <x v="6"/>
    <n v="1292"/>
    <x v="428"/>
    <d v="2025-04-28T00:00:00"/>
    <d v="2025-05-13T00:00:00"/>
    <s v="UPS"/>
    <x v="0"/>
    <x v="1"/>
  </r>
  <r>
    <s v="SHP-40430"/>
    <d v="2024-10-22T00:00:00"/>
    <x v="12"/>
    <x v="5"/>
    <n v="2969"/>
    <x v="429"/>
    <d v="2024-10-24T00:00:00"/>
    <d v="2024-11-23T00:00:00"/>
    <s v="FedEx"/>
    <x v="0"/>
    <x v="1"/>
  </r>
  <r>
    <s v="SHP-40431"/>
    <d v="2024-03-30T00:00:00"/>
    <x v="0"/>
    <x v="1"/>
    <n v="262"/>
    <x v="430"/>
    <d v="2024-04-02T00:00:00"/>
    <d v="2024-05-12T00:00:00"/>
    <s v="FedEx"/>
    <x v="0"/>
    <x v="0"/>
  </r>
  <r>
    <s v="SHP-40432"/>
    <d v="2024-05-25T00:00:00"/>
    <x v="10"/>
    <x v="6"/>
    <n v="4609"/>
    <x v="431"/>
    <d v="2024-05-26T00:00:00"/>
    <d v="2024-05-29T00:00:00"/>
    <s v="UPS"/>
    <x v="3"/>
    <x v="1"/>
  </r>
  <r>
    <s v="SHP-40433"/>
    <d v="2025-12-25T00:00:00"/>
    <x v="7"/>
    <x v="9"/>
    <n v="3055"/>
    <x v="432"/>
    <d v="2025-12-27T00:00:00"/>
    <d v="2026-01-01T00:00:00"/>
    <s v="FedEx"/>
    <x v="1"/>
    <x v="1"/>
  </r>
  <r>
    <s v="SHP-40434"/>
    <d v="2024-08-10T00:00:00"/>
    <x v="4"/>
    <x v="5"/>
    <n v="674"/>
    <x v="433"/>
    <d v="2024-08-11T00:00:00"/>
    <d v="2024-08-14T00:00:00"/>
    <s v="Local"/>
    <x v="1"/>
    <x v="1"/>
  </r>
  <r>
    <s v="SHP-40435"/>
    <d v="2024-11-23T00:00:00"/>
    <x v="13"/>
    <x v="8"/>
    <n v="2405"/>
    <x v="434"/>
    <d v="2024-11-25T00:00:00"/>
    <d v="2024-12-03T00:00:00"/>
    <s v="DHL"/>
    <x v="2"/>
    <x v="1"/>
  </r>
  <r>
    <s v="SHP-40436"/>
    <d v="2024-09-27T00:00:00"/>
    <x v="2"/>
    <x v="7"/>
    <n v="3159"/>
    <x v="435"/>
    <d v="2024-09-28T00:00:00"/>
    <d v="2024-10-11T00:00:00"/>
    <s v="DHL"/>
    <x v="2"/>
    <x v="0"/>
  </r>
  <r>
    <s v="SHP-40437"/>
    <d v="2024-12-21T00:00:00"/>
    <x v="7"/>
    <x v="0"/>
    <n v="3990"/>
    <x v="436"/>
    <d v="2024-12-22T00:00:00"/>
    <d v="2024-12-29T00:00:00"/>
    <s v="DHL"/>
    <x v="1"/>
    <x v="1"/>
  </r>
  <r>
    <s v="SHP-40438"/>
    <d v="2024-06-25T00:00:00"/>
    <x v="3"/>
    <x v="4"/>
    <n v="3043"/>
    <x v="437"/>
    <d v="2024-06-26T00:00:00"/>
    <d v="2024-07-03T00:00:00"/>
    <s v="Local"/>
    <x v="1"/>
    <x v="1"/>
  </r>
  <r>
    <s v="SHP-40439"/>
    <d v="2025-06-11T00:00:00"/>
    <x v="4"/>
    <x v="7"/>
    <n v="1096"/>
    <x v="438"/>
    <d v="2025-06-12T00:00:00"/>
    <d v="2025-07-03T00:00:00"/>
    <s v="UPS"/>
    <x v="0"/>
    <x v="1"/>
  </r>
  <r>
    <s v="SHP-40440"/>
    <d v="2024-02-03T00:00:00"/>
    <x v="1"/>
    <x v="5"/>
    <n v="4110"/>
    <x v="439"/>
    <d v="2024-02-05T00:00:00"/>
    <d v="2024-02-13T00:00:00"/>
    <s v="Local"/>
    <x v="1"/>
    <x v="1"/>
  </r>
  <r>
    <s v="SHP-40441"/>
    <d v="2025-02-16T00:00:00"/>
    <x v="0"/>
    <x v="4"/>
    <n v="2022"/>
    <x v="440"/>
    <d v="2025-02-19T00:00:00"/>
    <d v="2025-02-27T00:00:00"/>
    <s v="FedEx"/>
    <x v="1"/>
    <x v="1"/>
  </r>
  <r>
    <s v="SHP-40442"/>
    <d v="2025-07-03T00:00:00"/>
    <x v="13"/>
    <x v="8"/>
    <n v="294"/>
    <x v="441"/>
    <d v="2025-07-06T00:00:00"/>
    <d v="2025-07-13T00:00:00"/>
    <s v="DHL"/>
    <x v="1"/>
    <x v="1"/>
  </r>
  <r>
    <s v="SHP-40443"/>
    <d v="2024-09-14T00:00:00"/>
    <x v="5"/>
    <x v="5"/>
    <n v="2640"/>
    <x v="442"/>
    <d v="2024-09-16T00:00:00"/>
    <d v="2024-09-22T00:00:00"/>
    <s v="FedEx"/>
    <x v="1"/>
    <x v="1"/>
  </r>
  <r>
    <s v="SHP-40444"/>
    <d v="2025-09-21T00:00:00"/>
    <x v="13"/>
    <x v="0"/>
    <n v="733"/>
    <x v="443"/>
    <d v="2025-09-22T00:00:00"/>
    <d v="2025-09-30T00:00:00"/>
    <s v="UPS"/>
    <x v="1"/>
    <x v="1"/>
  </r>
  <r>
    <s v="SHP-40445"/>
    <d v="2024-04-22T00:00:00"/>
    <x v="10"/>
    <x v="1"/>
    <n v="2644"/>
    <x v="444"/>
    <d v="2024-04-23T00:00:00"/>
    <d v="2024-04-28T00:00:00"/>
    <s v="UPS"/>
    <x v="1"/>
    <x v="1"/>
  </r>
  <r>
    <s v="SHP-40446"/>
    <d v="2024-06-20T00:00:00"/>
    <x v="8"/>
    <x v="0"/>
    <n v="3342"/>
    <x v="445"/>
    <d v="2024-06-22T00:00:00"/>
    <d v="2024-07-20T00:00:00"/>
    <s v="FedEx"/>
    <x v="0"/>
    <x v="1"/>
  </r>
  <r>
    <s v="SHP-40447"/>
    <d v="2025-09-10T00:00:00"/>
    <x v="1"/>
    <x v="3"/>
    <n v="117"/>
    <x v="446"/>
    <d v="2025-09-13T00:00:00"/>
    <d v="2025-09-20T00:00:00"/>
    <s v="FedEx"/>
    <x v="1"/>
    <x v="1"/>
  </r>
  <r>
    <s v="SHP-40448"/>
    <d v="2025-10-24T00:00:00"/>
    <x v="10"/>
    <x v="7"/>
    <n v="2245"/>
    <x v="447"/>
    <d v="2025-10-25T00:00:00"/>
    <d v="2025-12-08T00:00:00"/>
    <s v="UPS"/>
    <x v="0"/>
    <x v="0"/>
  </r>
  <r>
    <s v="SHP-40449"/>
    <d v="2024-11-15T00:00:00"/>
    <x v="13"/>
    <x v="9"/>
    <n v="3199"/>
    <x v="448"/>
    <d v="2024-11-17T00:00:00"/>
    <d v="2024-11-20T00:00:00"/>
    <s v="UPS"/>
    <x v="1"/>
    <x v="1"/>
  </r>
  <r>
    <s v="SHP-40450"/>
    <d v="2024-02-25T00:00:00"/>
    <x v="7"/>
    <x v="1"/>
    <n v="976"/>
    <x v="449"/>
    <d v="2024-02-27T00:00:00"/>
    <d v="2024-03-10T00:00:00"/>
    <s v="FedEx"/>
    <x v="2"/>
    <x v="1"/>
  </r>
  <r>
    <s v="SHP-40451"/>
    <d v="2024-10-30T00:00:00"/>
    <x v="12"/>
    <x v="0"/>
    <n v="2163"/>
    <x v="450"/>
    <d v="2024-11-02T00:00:00"/>
    <d v="2024-11-06T00:00:00"/>
    <s v="FedEx"/>
    <x v="3"/>
    <x v="1"/>
  </r>
  <r>
    <s v="SHP-40452"/>
    <d v="2024-07-28T00:00:00"/>
    <x v="11"/>
    <x v="5"/>
    <n v="1432"/>
    <x v="451"/>
    <d v="2024-07-30T00:00:00"/>
    <d v="2024-08-08T00:00:00"/>
    <s v="DHL"/>
    <x v="1"/>
    <x v="0"/>
  </r>
  <r>
    <s v="SHP-40453"/>
    <d v="2025-07-24T00:00:00"/>
    <x v="11"/>
    <x v="1"/>
    <n v="3396"/>
    <x v="452"/>
    <d v="2025-07-26T00:00:00"/>
    <d v="2025-07-29T00:00:00"/>
    <s v="UPS"/>
    <x v="3"/>
    <x v="1"/>
  </r>
  <r>
    <s v="SHP-40454"/>
    <d v="2024-11-17T00:00:00"/>
    <x v="8"/>
    <x v="4"/>
    <n v="1110"/>
    <x v="453"/>
    <d v="2024-11-20T00:00:00"/>
    <d v="2024-11-23T00:00:00"/>
    <s v="UPS"/>
    <x v="3"/>
    <x v="1"/>
  </r>
  <r>
    <s v="SHP-40455"/>
    <d v="2024-09-13T00:00:00"/>
    <x v="8"/>
    <x v="5"/>
    <n v="1294"/>
    <x v="454"/>
    <d v="2024-09-15T00:00:00"/>
    <d v="2024-09-20T00:00:00"/>
    <s v="FedEx"/>
    <x v="1"/>
    <x v="1"/>
  </r>
  <r>
    <s v="SHP-40456"/>
    <d v="2024-11-03T00:00:00"/>
    <x v="0"/>
    <x v="2"/>
    <n v="3768"/>
    <x v="455"/>
    <d v="2024-11-04T00:00:00"/>
    <d v="2024-11-14T00:00:00"/>
    <s v="UPS"/>
    <x v="1"/>
    <x v="0"/>
  </r>
  <r>
    <s v="SHP-40457"/>
    <d v="2025-03-11T00:00:00"/>
    <x v="11"/>
    <x v="2"/>
    <n v="2518"/>
    <x v="456"/>
    <d v="2025-03-14T00:00:00"/>
    <d v="2025-03-21T00:00:00"/>
    <s v="Local"/>
    <x v="2"/>
    <x v="1"/>
  </r>
  <r>
    <s v="SHP-40458"/>
    <d v="2024-04-17T00:00:00"/>
    <x v="4"/>
    <x v="3"/>
    <n v="3953"/>
    <x v="457"/>
    <d v="2024-04-18T00:00:00"/>
    <d v="2024-04-19T00:00:00"/>
    <s v="FedEx"/>
    <x v="3"/>
    <x v="1"/>
  </r>
  <r>
    <s v="SHP-40459"/>
    <d v="2025-02-18T00:00:00"/>
    <x v="9"/>
    <x v="7"/>
    <n v="2584"/>
    <x v="458"/>
    <d v="2025-02-21T00:00:00"/>
    <d v="2025-02-28T00:00:00"/>
    <s v="Local"/>
    <x v="1"/>
    <x v="1"/>
  </r>
  <r>
    <s v="SHP-40460"/>
    <d v="2025-04-08T00:00:00"/>
    <x v="1"/>
    <x v="5"/>
    <n v="3926"/>
    <x v="459"/>
    <d v="2025-04-11T00:00:00"/>
    <d v="2025-04-20T00:00:00"/>
    <s v="Local"/>
    <x v="2"/>
    <x v="1"/>
  </r>
  <r>
    <s v="SHP-40461"/>
    <d v="2024-04-29T00:00:00"/>
    <x v="0"/>
    <x v="9"/>
    <n v="4911"/>
    <x v="460"/>
    <d v="2024-05-01T00:00:00"/>
    <d v="2024-05-04T00:00:00"/>
    <s v="DHL"/>
    <x v="3"/>
    <x v="1"/>
  </r>
  <r>
    <s v="SHP-40462"/>
    <d v="2024-09-26T00:00:00"/>
    <x v="11"/>
    <x v="9"/>
    <n v="769"/>
    <x v="461"/>
    <d v="2024-09-28T00:00:00"/>
    <d v="2024-10-02T00:00:00"/>
    <s v="FedEx"/>
    <x v="1"/>
    <x v="1"/>
  </r>
  <r>
    <s v="SHP-40463"/>
    <d v="2025-11-25T00:00:00"/>
    <x v="5"/>
    <x v="8"/>
    <n v="149"/>
    <x v="462"/>
    <d v="2025-11-27T00:00:00"/>
    <d v="2025-11-30T00:00:00"/>
    <s v="FedEx"/>
    <x v="1"/>
    <x v="1"/>
  </r>
  <r>
    <s v="SHP-40464"/>
    <d v="2025-10-06T00:00:00"/>
    <x v="4"/>
    <x v="5"/>
    <n v="1497"/>
    <x v="463"/>
    <d v="2025-10-08T00:00:00"/>
    <d v="2025-10-14T00:00:00"/>
    <s v="FedEx"/>
    <x v="2"/>
    <x v="1"/>
  </r>
  <r>
    <s v="SHP-40465"/>
    <d v="2025-04-29T00:00:00"/>
    <x v="7"/>
    <x v="0"/>
    <n v="1720"/>
    <x v="464"/>
    <d v="2025-05-01T00:00:00"/>
    <d v="2025-05-04T00:00:00"/>
    <s v="UPS"/>
    <x v="3"/>
    <x v="1"/>
  </r>
  <r>
    <s v="SHP-40466"/>
    <d v="2024-03-11T00:00:00"/>
    <x v="9"/>
    <x v="4"/>
    <n v="3287"/>
    <x v="465"/>
    <d v="2024-03-12T00:00:00"/>
    <d v="2024-03-15T00:00:00"/>
    <s v="FedEx"/>
    <x v="3"/>
    <x v="1"/>
  </r>
  <r>
    <s v="SHP-40467"/>
    <d v="2024-10-19T00:00:00"/>
    <x v="13"/>
    <x v="7"/>
    <n v="4776"/>
    <x v="466"/>
    <d v="2024-10-22T00:00:00"/>
    <d v="2024-10-27T00:00:00"/>
    <s v="DHL"/>
    <x v="3"/>
    <x v="1"/>
  </r>
  <r>
    <s v="SHP-40468"/>
    <d v="2025-05-13T00:00:00"/>
    <x v="4"/>
    <x v="8"/>
    <n v="4187"/>
    <x v="467"/>
    <d v="2025-05-14T00:00:00"/>
    <d v="2025-05-23T00:00:00"/>
    <s v="Local"/>
    <x v="1"/>
    <x v="0"/>
  </r>
  <r>
    <s v="SHP-40469"/>
    <d v="2025-11-25T00:00:00"/>
    <x v="12"/>
    <x v="4"/>
    <n v="2872"/>
    <x v="468"/>
    <d v="2025-11-27T00:00:00"/>
    <d v="2025-11-30T00:00:00"/>
    <s v="Local"/>
    <x v="3"/>
    <x v="1"/>
  </r>
  <r>
    <s v="SHP-40470"/>
    <d v="2025-02-06T00:00:00"/>
    <x v="3"/>
    <x v="5"/>
    <n v="276"/>
    <x v="469"/>
    <d v="2025-02-09T00:00:00"/>
    <d v="2025-02-23T00:00:00"/>
    <s v="UPS"/>
    <x v="2"/>
    <x v="0"/>
  </r>
  <r>
    <s v="SHP-40471"/>
    <d v="2025-06-05T00:00:00"/>
    <x v="11"/>
    <x v="1"/>
    <n v="2678"/>
    <x v="470"/>
    <d v="2025-06-08T00:00:00"/>
    <d v="2025-06-14T00:00:00"/>
    <s v="FedEx"/>
    <x v="1"/>
    <x v="1"/>
  </r>
  <r>
    <s v="SHP-40472"/>
    <d v="2025-02-27T00:00:00"/>
    <x v="11"/>
    <x v="7"/>
    <n v="2990"/>
    <x v="471"/>
    <d v="2025-02-28T00:00:00"/>
    <d v="2025-03-07T00:00:00"/>
    <s v="FedEx"/>
    <x v="1"/>
    <x v="1"/>
  </r>
  <r>
    <s v="SHP-40473"/>
    <d v="2025-09-05T00:00:00"/>
    <x v="14"/>
    <x v="6"/>
    <n v="4893"/>
    <x v="472"/>
    <d v="2025-09-07T00:00:00"/>
    <d v="2025-09-12T00:00:00"/>
    <s v="FedEx"/>
    <x v="2"/>
    <x v="1"/>
  </r>
  <r>
    <s v="SHP-40474"/>
    <d v="2024-01-31T00:00:00"/>
    <x v="8"/>
    <x v="6"/>
    <n v="3581"/>
    <x v="473"/>
    <d v="2024-02-03T00:00:00"/>
    <d v="2024-02-07T00:00:00"/>
    <s v="Local"/>
    <x v="3"/>
    <x v="1"/>
  </r>
  <r>
    <s v="SHP-40475"/>
    <d v="2025-05-22T00:00:00"/>
    <x v="9"/>
    <x v="7"/>
    <n v="1115"/>
    <x v="474"/>
    <d v="2025-05-24T00:00:00"/>
    <d v="2025-06-01T00:00:00"/>
    <s v="UPS"/>
    <x v="1"/>
    <x v="1"/>
  </r>
  <r>
    <s v="SHP-40476"/>
    <d v="2025-06-22T00:00:00"/>
    <x v="2"/>
    <x v="3"/>
    <n v="4869"/>
    <x v="475"/>
    <d v="2025-06-23T00:00:00"/>
    <d v="2025-08-01T00:00:00"/>
    <s v="FedEx"/>
    <x v="0"/>
    <x v="0"/>
  </r>
  <r>
    <s v="SHP-40477"/>
    <d v="2025-10-03T00:00:00"/>
    <x v="12"/>
    <x v="4"/>
    <n v="1027"/>
    <x v="476"/>
    <d v="2025-10-06T00:00:00"/>
    <d v="2025-10-11T00:00:00"/>
    <s v="UPS"/>
    <x v="1"/>
    <x v="1"/>
  </r>
  <r>
    <s v="SHP-40478"/>
    <d v="2025-11-03T00:00:00"/>
    <x v="13"/>
    <x v="7"/>
    <n v="2756"/>
    <x v="477"/>
    <d v="2025-11-06T00:00:00"/>
    <d v="2025-11-10T00:00:00"/>
    <s v="Local"/>
    <x v="3"/>
    <x v="1"/>
  </r>
  <r>
    <s v="SHP-40479"/>
    <d v="2024-04-06T00:00:00"/>
    <x v="11"/>
    <x v="3"/>
    <n v="3408"/>
    <x v="478"/>
    <d v="2024-04-09T00:00:00"/>
    <d v="2024-04-12T00:00:00"/>
    <s v="DHL"/>
    <x v="3"/>
    <x v="1"/>
  </r>
  <r>
    <s v="SHP-40480"/>
    <d v="2024-11-23T00:00:00"/>
    <x v="3"/>
    <x v="7"/>
    <n v="144"/>
    <x v="479"/>
    <d v="2024-11-26T00:00:00"/>
    <d v="2024-12-04T00:00:00"/>
    <s v="DHL"/>
    <x v="1"/>
    <x v="1"/>
  </r>
  <r>
    <s v="SHP-40481"/>
    <d v="2025-11-14T00:00:00"/>
    <x v="1"/>
    <x v="6"/>
    <n v="1593"/>
    <x v="480"/>
    <d v="2025-11-17T00:00:00"/>
    <d v="2025-11-23T00:00:00"/>
    <s v="UPS"/>
    <x v="1"/>
    <x v="1"/>
  </r>
  <r>
    <s v="SHP-40482"/>
    <d v="2025-04-05T00:00:00"/>
    <x v="13"/>
    <x v="0"/>
    <n v="3072"/>
    <x v="481"/>
    <d v="2025-04-08T00:00:00"/>
    <d v="2025-04-12T00:00:00"/>
    <s v="FedEx"/>
    <x v="1"/>
    <x v="1"/>
  </r>
  <r>
    <s v="SHP-40483"/>
    <d v="2025-01-20T00:00:00"/>
    <x v="6"/>
    <x v="1"/>
    <n v="1740"/>
    <x v="482"/>
    <d v="2025-01-22T00:00:00"/>
    <d v="2025-02-23T00:00:00"/>
    <s v="UPS"/>
    <x v="0"/>
    <x v="0"/>
  </r>
  <r>
    <s v="SHP-40484"/>
    <d v="2025-05-21T00:00:00"/>
    <x v="11"/>
    <x v="5"/>
    <n v="2517"/>
    <x v="483"/>
    <d v="2025-05-24T00:00:00"/>
    <d v="2025-05-27T00:00:00"/>
    <s v="DHL"/>
    <x v="3"/>
    <x v="1"/>
  </r>
  <r>
    <s v="SHP-40485"/>
    <d v="2024-02-18T00:00:00"/>
    <x v="8"/>
    <x v="8"/>
    <n v="3827"/>
    <x v="484"/>
    <d v="2024-02-20T00:00:00"/>
    <d v="2024-02-25T00:00:00"/>
    <s v="Local"/>
    <x v="3"/>
    <x v="1"/>
  </r>
  <r>
    <s v="SHP-40486"/>
    <d v="2024-01-14T00:00:00"/>
    <x v="13"/>
    <x v="8"/>
    <n v="3486"/>
    <x v="485"/>
    <d v="2024-01-17T00:00:00"/>
    <d v="2024-01-21T00:00:00"/>
    <s v="DHL"/>
    <x v="1"/>
    <x v="1"/>
  </r>
  <r>
    <s v="SHP-40487"/>
    <d v="2025-06-27T00:00:00"/>
    <x v="8"/>
    <x v="9"/>
    <n v="2444"/>
    <x v="486"/>
    <d v="2025-06-30T00:00:00"/>
    <d v="2025-07-26T00:00:00"/>
    <s v="FedEx"/>
    <x v="0"/>
    <x v="1"/>
  </r>
  <r>
    <s v="SHP-40488"/>
    <d v="2024-01-22T00:00:00"/>
    <x v="12"/>
    <x v="7"/>
    <n v="1488"/>
    <x v="487"/>
    <d v="2024-01-23T00:00:00"/>
    <d v="2024-01-26T00:00:00"/>
    <s v="UPS"/>
    <x v="1"/>
    <x v="1"/>
  </r>
  <r>
    <s v="SHP-40489"/>
    <d v="2024-11-19T00:00:00"/>
    <x v="8"/>
    <x v="8"/>
    <n v="1449"/>
    <x v="488"/>
    <d v="2024-11-21T00:00:00"/>
    <d v="2024-11-24T00:00:00"/>
    <s v="FedEx"/>
    <x v="1"/>
    <x v="1"/>
  </r>
  <r>
    <s v="SHP-40490"/>
    <d v="2024-10-11T00:00:00"/>
    <x v="6"/>
    <x v="2"/>
    <n v="1978"/>
    <x v="489"/>
    <d v="2024-10-14T00:00:00"/>
    <d v="2024-10-26T00:00:00"/>
    <s v="FedEx"/>
    <x v="2"/>
    <x v="1"/>
  </r>
  <r>
    <s v="SHP-40491"/>
    <d v="2025-11-02T00:00:00"/>
    <x v="1"/>
    <x v="8"/>
    <n v="4964"/>
    <x v="490"/>
    <d v="2025-11-05T00:00:00"/>
    <d v="2025-11-08T00:00:00"/>
    <s v="FedEx"/>
    <x v="1"/>
    <x v="1"/>
  </r>
  <r>
    <s v="SHP-40492"/>
    <d v="2024-10-22T00:00:00"/>
    <x v="2"/>
    <x v="6"/>
    <n v="2555"/>
    <x v="491"/>
    <d v="2024-10-23T00:00:00"/>
    <d v="2024-10-29T00:00:00"/>
    <s v="Local"/>
    <x v="1"/>
    <x v="1"/>
  </r>
  <r>
    <s v="SHP-40493"/>
    <d v="2024-10-04T00:00:00"/>
    <x v="4"/>
    <x v="5"/>
    <n v="644"/>
    <x v="492"/>
    <d v="2024-10-07T00:00:00"/>
    <d v="2024-10-16T00:00:00"/>
    <s v="UPS"/>
    <x v="1"/>
    <x v="0"/>
  </r>
  <r>
    <s v="SHP-40494"/>
    <d v="2025-12-26T00:00:00"/>
    <x v="3"/>
    <x v="3"/>
    <n v="2150"/>
    <x v="493"/>
    <d v="2025-12-28T00:00:00"/>
    <d v="2026-01-16T00:00:00"/>
    <s v="UPS"/>
    <x v="0"/>
    <x v="1"/>
  </r>
  <r>
    <s v="SHP-40495"/>
    <d v="2024-08-28T00:00:00"/>
    <x v="8"/>
    <x v="3"/>
    <n v="1621"/>
    <x v="494"/>
    <d v="2024-08-30T00:00:00"/>
    <d v="2024-09-03T00:00:00"/>
    <s v="UPS"/>
    <x v="3"/>
    <x v="1"/>
  </r>
  <r>
    <s v="SHP-40496"/>
    <d v="2025-06-28T00:00:00"/>
    <x v="14"/>
    <x v="3"/>
    <n v="2404"/>
    <x v="495"/>
    <d v="2025-07-01T00:00:00"/>
    <d v="2025-07-06T00:00:00"/>
    <s v="UPS"/>
    <x v="1"/>
    <x v="1"/>
  </r>
  <r>
    <s v="SHP-40497"/>
    <d v="2025-05-11T00:00:00"/>
    <x v="12"/>
    <x v="9"/>
    <n v="434"/>
    <x v="496"/>
    <d v="2025-05-12T00:00:00"/>
    <d v="2025-05-21T00:00:00"/>
    <s v="FedEx"/>
    <x v="1"/>
    <x v="0"/>
  </r>
  <r>
    <s v="SHP-40498"/>
    <d v="2025-10-15T00:00:00"/>
    <x v="9"/>
    <x v="3"/>
    <n v="1185"/>
    <x v="497"/>
    <d v="2025-10-16T00:00:00"/>
    <d v="2025-10-21T00:00:00"/>
    <s v="Local"/>
    <x v="1"/>
    <x v="1"/>
  </r>
  <r>
    <s v="SHP-40499"/>
    <d v="2024-02-14T00:00:00"/>
    <x v="2"/>
    <x v="0"/>
    <n v="1692"/>
    <x v="498"/>
    <d v="2024-02-17T00:00:00"/>
    <d v="2024-03-03T00:00:00"/>
    <s v="UPS"/>
    <x v="0"/>
    <x v="1"/>
  </r>
  <r>
    <s v="SHP-40500"/>
    <d v="2024-09-17T00:00:00"/>
    <x v="3"/>
    <x v="7"/>
    <n v="2140"/>
    <x v="499"/>
    <d v="2024-09-18T00:00:00"/>
    <d v="2024-09-26T00:00:00"/>
    <s v="DHL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:R267" firstHeaderRow="1" firstDataRow="3" firstDataCol="3"/>
  <pivotFields count="11">
    <pivotField dataField="1" compact="0" outline="0" showAll="0"/>
    <pivotField compact="0" outline="0" numFmtId="58" showAll="0"/>
    <pivotField axis="axisRow" compact="0" outline="0" showAll="0">
      <items count="16">
        <item x="5"/>
        <item x="3"/>
        <item x="14"/>
        <item x="0"/>
        <item x="6"/>
        <item x="7"/>
        <item x="1"/>
        <item x="13"/>
        <item x="11"/>
        <item x="12"/>
        <item x="9"/>
        <item x="4"/>
        <item x="8"/>
        <item x="2"/>
        <item x="10"/>
        <item t="default"/>
      </items>
    </pivotField>
    <pivotField axis="axisRow" compact="0" outline="0" showAll="0">
      <items count="11">
        <item x="3"/>
        <item sd="0" x="0"/>
        <item sd="0" x="4"/>
        <item x="9"/>
        <item x="2"/>
        <item x="7"/>
        <item x="8"/>
        <item x="1"/>
        <item x="6"/>
        <item x="5"/>
        <item t="default"/>
      </items>
    </pivotField>
    <pivotField dataField="1" compact="0" outline="0" showAll="0"/>
    <pivotField dataField="1" measureFilter="1" compact="0" outline="0" numFmtId="8" showAll="0">
      <items count="501">
        <item x="426"/>
        <item x="24"/>
        <item x="93"/>
        <item x="35"/>
        <item x="345"/>
        <item x="467"/>
        <item x="273"/>
        <item x="140"/>
        <item x="146"/>
        <item x="254"/>
        <item x="44"/>
        <item x="277"/>
        <item x="422"/>
        <item x="107"/>
        <item x="174"/>
        <item x="90"/>
        <item x="346"/>
        <item x="353"/>
        <item x="474"/>
        <item x="131"/>
        <item x="373"/>
        <item x="238"/>
        <item x="153"/>
        <item x="486"/>
        <item x="405"/>
        <item x="100"/>
        <item x="198"/>
        <item x="104"/>
        <item x="430"/>
        <item x="226"/>
        <item x="184"/>
        <item x="251"/>
        <item x="469"/>
        <item x="82"/>
        <item x="199"/>
        <item x="186"/>
        <item x="250"/>
        <item x="0"/>
        <item x="62"/>
        <item x="187"/>
        <item x="102"/>
        <item x="391"/>
        <item x="360"/>
        <item x="490"/>
        <item x="298"/>
        <item x="119"/>
        <item x="248"/>
        <item x="328"/>
        <item x="443"/>
        <item x="144"/>
        <item x="366"/>
        <item x="276"/>
        <item x="33"/>
        <item x="450"/>
        <item x="96"/>
        <item x="52"/>
        <item x="18"/>
        <item x="216"/>
        <item x="101"/>
        <item x="265"/>
        <item x="290"/>
        <item x="484"/>
        <item x="206"/>
        <item x="444"/>
        <item x="163"/>
        <item x="222"/>
        <item x="462"/>
        <item x="49"/>
        <item x="409"/>
        <item x="263"/>
        <item x="83"/>
        <item x="311"/>
        <item x="94"/>
        <item x="64"/>
        <item x="91"/>
        <item x="67"/>
        <item x="419"/>
        <item x="441"/>
        <item x="434"/>
        <item x="423"/>
        <item x="88"/>
        <item x="348"/>
        <item x="392"/>
        <item x="191"/>
        <item x="60"/>
        <item x="212"/>
        <item x="86"/>
        <item x="281"/>
        <item x="129"/>
        <item x="488"/>
        <item x="416"/>
        <item x="473"/>
        <item x="321"/>
        <item x="57"/>
        <item x="169"/>
        <item x="105"/>
        <item x="312"/>
        <item x="215"/>
        <item x="350"/>
        <item x="389"/>
        <item x="121"/>
        <item x="227"/>
        <item x="1"/>
        <item x="431"/>
        <item x="193"/>
        <item x="310"/>
        <item x="244"/>
        <item x="380"/>
        <item x="406"/>
        <item x="429"/>
        <item x="132"/>
        <item x="239"/>
        <item x="203"/>
        <item x="256"/>
        <item x="485"/>
        <item x="126"/>
        <item x="375"/>
        <item x="257"/>
        <item x="386"/>
        <item x="170"/>
        <item x="74"/>
        <item x="195"/>
        <item x="106"/>
        <item x="291"/>
        <item x="260"/>
        <item x="165"/>
        <item x="108"/>
        <item x="361"/>
        <item x="176"/>
        <item x="432"/>
        <item x="343"/>
        <item x="149"/>
        <item x="164"/>
        <item x="354"/>
        <item x="349"/>
        <item x="224"/>
        <item x="155"/>
        <item x="262"/>
        <item x="482"/>
        <item x="167"/>
        <item x="85"/>
        <item x="171"/>
        <item x="388"/>
        <item x="253"/>
        <item x="306"/>
        <item x="326"/>
        <item x="342"/>
        <item x="369"/>
        <item x="410"/>
        <item x="472"/>
        <item x="300"/>
        <item x="161"/>
        <item x="293"/>
        <item x="479"/>
        <item x="397"/>
        <item x="39"/>
        <item x="113"/>
        <item x="138"/>
        <item x="378"/>
        <item x="460"/>
        <item x="299"/>
        <item x="48"/>
        <item x="127"/>
        <item x="118"/>
        <item x="139"/>
        <item x="38"/>
        <item x="2"/>
        <item x="452"/>
        <item x="333"/>
        <item x="338"/>
        <item x="341"/>
        <item x="302"/>
        <item x="363"/>
        <item x="237"/>
        <item x="92"/>
        <item x="218"/>
        <item x="202"/>
        <item x="275"/>
        <item x="192"/>
        <item x="307"/>
        <item x="498"/>
        <item x="30"/>
        <item x="318"/>
        <item x="415"/>
        <item x="470"/>
        <item x="247"/>
        <item x="322"/>
        <item x="433"/>
        <item x="280"/>
        <item x="359"/>
        <item x="448"/>
        <item x="242"/>
        <item x="313"/>
        <item x="28"/>
        <item x="347"/>
        <item x="274"/>
        <item x="123"/>
        <item x="464"/>
        <item x="136"/>
        <item x="449"/>
        <item x="267"/>
        <item x="496"/>
        <item x="110"/>
        <item x="287"/>
        <item x="385"/>
        <item x="255"/>
        <item x="228"/>
        <item x="240"/>
        <item x="246"/>
        <item x="178"/>
        <item x="245"/>
        <item x="296"/>
        <item x="428"/>
        <item x="160"/>
        <item x="114"/>
        <item x="196"/>
        <item x="355"/>
        <item x="339"/>
        <item x="424"/>
        <item x="211"/>
        <item x="23"/>
        <item x="78"/>
        <item x="143"/>
        <item x="217"/>
        <item x="289"/>
        <item x="225"/>
        <item x="204"/>
        <item x="69"/>
        <item x="304"/>
        <item x="63"/>
        <item x="457"/>
        <item x="377"/>
        <item x="16"/>
        <item x="71"/>
        <item x="376"/>
        <item x="133"/>
        <item x="497"/>
        <item x="190"/>
        <item x="279"/>
        <item x="487"/>
        <item x="315"/>
        <item x="442"/>
        <item x="183"/>
        <item x="344"/>
        <item x="116"/>
        <item x="173"/>
        <item x="356"/>
        <item x="285"/>
        <item x="268"/>
        <item x="111"/>
        <item x="411"/>
        <item x="463"/>
        <item x="81"/>
        <item x="231"/>
        <item x="181"/>
        <item x="351"/>
        <item x="197"/>
        <item x="51"/>
        <item x="117"/>
        <item x="283"/>
        <item x="408"/>
        <item x="403"/>
        <item x="61"/>
        <item x="334"/>
        <item x="11"/>
        <item x="286"/>
        <item x="451"/>
        <item x="152"/>
        <item x="278"/>
        <item x="461"/>
        <item x="241"/>
        <item x="205"/>
        <item x="453"/>
        <item x="401"/>
        <item x="15"/>
        <item x="59"/>
        <item x="40"/>
        <item x="7"/>
        <item x="182"/>
        <item x="130"/>
        <item x="258"/>
        <item x="384"/>
        <item x="459"/>
        <item x="365"/>
        <item x="439"/>
        <item x="166"/>
        <item x="332"/>
        <item x="68"/>
        <item x="230"/>
        <item x="370"/>
        <item x="201"/>
        <item x="3"/>
        <item x="41"/>
        <item x="491"/>
        <item x="209"/>
        <item x="154"/>
        <item x="481"/>
        <item x="84"/>
        <item x="208"/>
        <item x="393"/>
        <item x="390"/>
        <item x="168"/>
        <item x="417"/>
        <item x="4"/>
        <item x="404"/>
        <item x="436"/>
        <item x="21"/>
        <item x="483"/>
        <item x="358"/>
        <item x="162"/>
        <item x="492"/>
        <item x="124"/>
        <item x="414"/>
        <item x="368"/>
        <item x="454"/>
        <item x="180"/>
        <item x="362"/>
        <item x="109"/>
        <item x="382"/>
        <item x="367"/>
        <item x="288"/>
        <item x="27"/>
        <item x="50"/>
        <item x="66"/>
        <item x="73"/>
        <item x="125"/>
        <item x="387"/>
        <item x="284"/>
        <item x="478"/>
        <item x="220"/>
        <item x="185"/>
        <item x="372"/>
        <item x="151"/>
        <item x="46"/>
        <item x="425"/>
        <item x="471"/>
        <item x="189"/>
        <item x="9"/>
        <item x="259"/>
        <item x="58"/>
        <item x="399"/>
        <item x="8"/>
        <item x="357"/>
        <item x="438"/>
        <item x="477"/>
        <item x="421"/>
        <item x="10"/>
        <item x="303"/>
        <item x="99"/>
        <item x="98"/>
        <item x="76"/>
        <item x="466"/>
        <item x="97"/>
        <item x="115"/>
        <item x="29"/>
        <item x="381"/>
        <item x="56"/>
        <item x="134"/>
        <item x="188"/>
        <item x="427"/>
        <item x="233"/>
        <item x="413"/>
        <item x="323"/>
        <item x="395"/>
        <item x="75"/>
        <item x="72"/>
        <item x="402"/>
        <item x="499"/>
        <item x="400"/>
        <item x="20"/>
        <item x="458"/>
        <item x="177"/>
        <item x="337"/>
        <item x="34"/>
        <item x="301"/>
        <item x="137"/>
        <item x="55"/>
        <item x="200"/>
        <item x="396"/>
        <item x="445"/>
        <item x="297"/>
        <item x="316"/>
        <item x="26"/>
        <item x="12"/>
        <item x="249"/>
        <item x="150"/>
        <item x="446"/>
        <item x="272"/>
        <item x="440"/>
        <item x="219"/>
        <item x="352"/>
        <item x="47"/>
        <item x="234"/>
        <item x="435"/>
        <item x="379"/>
        <item x="266"/>
        <item x="243"/>
        <item x="22"/>
        <item x="135"/>
        <item x="371"/>
        <item x="17"/>
        <item x="295"/>
        <item x="235"/>
        <item x="141"/>
        <item x="156"/>
        <item x="45"/>
        <item x="194"/>
        <item x="317"/>
        <item x="476"/>
        <item x="122"/>
        <item x="493"/>
        <item x="319"/>
        <item x="447"/>
        <item x="340"/>
        <item x="207"/>
        <item x="327"/>
        <item x="398"/>
        <item x="292"/>
        <item x="270"/>
        <item x="420"/>
        <item x="480"/>
        <item x="394"/>
        <item x="172"/>
        <item x="223"/>
        <item x="282"/>
        <item x="325"/>
        <item x="87"/>
        <item x="335"/>
        <item x="475"/>
        <item x="37"/>
        <item x="229"/>
        <item x="455"/>
        <item x="331"/>
        <item x="31"/>
        <item x="495"/>
        <item x="456"/>
        <item x="309"/>
        <item x="314"/>
        <item x="112"/>
        <item x="252"/>
        <item x="494"/>
        <item x="65"/>
        <item x="465"/>
        <item x="32"/>
        <item x="6"/>
        <item x="159"/>
        <item x="179"/>
        <item x="271"/>
        <item x="14"/>
        <item x="77"/>
        <item x="80"/>
        <item x="95"/>
        <item x="43"/>
        <item x="468"/>
        <item x="128"/>
        <item x="210"/>
        <item x="324"/>
        <item x="157"/>
        <item x="214"/>
        <item x="305"/>
        <item x="294"/>
        <item x="142"/>
        <item x="213"/>
        <item x="42"/>
        <item x="103"/>
        <item x="383"/>
        <item x="437"/>
        <item x="5"/>
        <item x="261"/>
        <item x="89"/>
        <item x="489"/>
        <item x="412"/>
        <item x="236"/>
        <item x="330"/>
        <item x="145"/>
        <item x="329"/>
        <item x="79"/>
        <item x="70"/>
        <item x="336"/>
        <item x="148"/>
        <item x="175"/>
        <item x="54"/>
        <item x="418"/>
        <item x="53"/>
        <item x="407"/>
        <item x="269"/>
        <item x="147"/>
        <item x="232"/>
        <item x="308"/>
        <item x="120"/>
        <item x="13"/>
        <item x="36"/>
        <item x="19"/>
        <item x="25"/>
        <item x="264"/>
        <item x="374"/>
        <item x="221"/>
        <item x="364"/>
        <item x="320"/>
        <item x="158"/>
        <item t="default"/>
      </items>
    </pivotField>
    <pivotField compact="0" outline="0" numFmtId="58" showAll="0"/>
    <pivotField compact="0" outline="0" numFmtId="58" showAll="0"/>
    <pivotField compact="0" outline="0" showAll="0"/>
    <pivotField axis="axisCol" compact="0" outline="0" showAll="0">
      <items count="5">
        <item x="3"/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3">
    <field x="2"/>
    <field x="10"/>
    <field x="3"/>
  </rowFields>
  <rowItems count="262">
    <i>
      <x/>
      <x/>
      <x v="3"/>
    </i>
    <i r="2">
      <x v="4"/>
    </i>
    <i r="2">
      <x v="5"/>
    </i>
    <i r="2">
      <x v="6"/>
    </i>
    <i r="2">
      <x v="8"/>
    </i>
    <i r="2">
      <x v="9"/>
    </i>
    <i t="default" r="1">
      <x/>
    </i>
    <i r="1">
      <x v="1"/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t="default" r="1">
      <x v="1"/>
    </i>
    <i t="default">
      <x/>
    </i>
    <i>
      <x v="1"/>
      <x/>
      <x v="4"/>
    </i>
    <i r="2">
      <x v="8"/>
    </i>
    <i r="2">
      <x v="9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t="default" r="1">
      <x v="1"/>
    </i>
    <i t="default">
      <x v="1"/>
    </i>
    <i>
      <x v="2"/>
      <x/>
      <x/>
    </i>
    <i r="2">
      <x v="2"/>
    </i>
    <i r="2">
      <x v="3"/>
    </i>
    <i r="2">
      <x v="4"/>
    </i>
    <i r="2">
      <x v="5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t="default" r="1">
      <x v="1"/>
    </i>
    <i t="default">
      <x v="2"/>
    </i>
    <i>
      <x v="3"/>
      <x/>
      <x/>
    </i>
    <i r="2">
      <x v="1"/>
    </i>
    <i r="2">
      <x v="3"/>
    </i>
    <i r="2">
      <x v="4"/>
    </i>
    <i r="2">
      <x v="6"/>
    </i>
    <i r="2">
      <x v="7"/>
    </i>
    <i r="2">
      <x v="8"/>
    </i>
    <i r="2">
      <x v="9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t="default" r="1">
      <x v="1"/>
    </i>
    <i t="default">
      <x v="3"/>
    </i>
    <i>
      <x v="4"/>
      <x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default" r="1">
      <x v="1"/>
    </i>
    <i t="default">
      <x v="4"/>
    </i>
    <i>
      <x v="5"/>
      <x/>
      <x v="2"/>
    </i>
    <i r="2">
      <x v="5"/>
    </i>
    <i r="2">
      <x v="6"/>
    </i>
    <i r="2">
      <x v="7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t="default" r="1">
      <x v="1"/>
    </i>
    <i t="default">
      <x v="5"/>
    </i>
    <i>
      <x v="6"/>
      <x/>
      <x v="1"/>
    </i>
    <i r="2">
      <x v="5"/>
    </i>
    <i r="2">
      <x v="6"/>
    </i>
    <i r="2">
      <x v="8"/>
    </i>
    <i r="2">
      <x v="9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default" r="1">
      <x v="1"/>
    </i>
    <i t="default">
      <x v="6"/>
    </i>
    <i>
      <x v="7"/>
      <x/>
      <x/>
    </i>
    <i r="2">
      <x v="1"/>
    </i>
    <i r="2">
      <x v="3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9"/>
    </i>
    <i t="default" r="1">
      <x v="1"/>
    </i>
    <i t="default">
      <x v="7"/>
    </i>
    <i>
      <x v="8"/>
      <x/>
      <x/>
    </i>
    <i r="2">
      <x v="6"/>
    </i>
    <i r="2">
      <x v="7"/>
    </i>
    <i r="2">
      <x v="9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default" r="1">
      <x v="1"/>
    </i>
    <i t="default">
      <x v="8"/>
    </i>
    <i>
      <x v="9"/>
      <x/>
      <x v="2"/>
    </i>
    <i r="2">
      <x v="3"/>
    </i>
    <i r="2">
      <x v="5"/>
    </i>
    <i r="2">
      <x v="8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default" r="1">
      <x v="1"/>
    </i>
    <i t="default">
      <x v="9"/>
    </i>
    <i>
      <x v="10"/>
      <x/>
      <x v="1"/>
    </i>
    <i r="2">
      <x v="4"/>
    </i>
    <i r="2">
      <x v="5"/>
    </i>
    <i r="2">
      <x v="6"/>
    </i>
    <i r="2">
      <x v="7"/>
    </i>
    <i t="default" r="1">
      <x/>
    </i>
    <i r="1">
      <x v="1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t="default" r="1">
      <x v="1"/>
    </i>
    <i t="default">
      <x v="10"/>
    </i>
    <i>
      <x v="11"/>
      <x/>
      <x/>
    </i>
    <i r="2">
      <x v="2"/>
    </i>
    <i r="2">
      <x v="5"/>
    </i>
    <i r="2">
      <x v="6"/>
    </i>
    <i r="2">
      <x v="7"/>
    </i>
    <i r="2">
      <x v="9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default" r="1">
      <x v="1"/>
    </i>
    <i t="default">
      <x v="11"/>
    </i>
    <i>
      <x v="12"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default" r="1">
      <x v="1"/>
    </i>
    <i t="default">
      <x v="12"/>
    </i>
    <i>
      <x v="13"/>
      <x/>
      <x/>
    </i>
    <i r="2">
      <x v="1"/>
    </i>
    <i r="2">
      <x v="2"/>
    </i>
    <i r="2">
      <x v="3"/>
    </i>
    <i r="2">
      <x v="5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t="default" r="1">
      <x v="1"/>
    </i>
    <i t="default">
      <x v="13"/>
    </i>
    <i>
      <x v="14"/>
      <x/>
      <x v="1"/>
    </i>
    <i r="2">
      <x v="5"/>
    </i>
    <i r="2">
      <x v="6"/>
    </i>
    <i r="2">
      <x v="7"/>
    </i>
    <i r="2">
      <x v="8"/>
    </i>
    <i r="2">
      <x v="9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default" r="1">
      <x v="1"/>
    </i>
    <i t="default">
      <x v="14"/>
    </i>
    <i t="grand">
      <x/>
    </i>
  </rowItems>
  <colFields count="2">
    <field x="-2"/>
    <field x="9"/>
  </colFields>
  <colItems count="15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t="grand">
      <x/>
    </i>
    <i t="grand">
      <x/>
    </i>
    <i t="grand">
      <x/>
    </i>
  </colItems>
  <dataFields count="3">
    <dataField name="Sum of Total Cost" fld="5" baseField="0" baseItem="0" numFmtId="8"/>
    <dataField name="Sum of Quantity" fld="4" baseField="0" baseItem="0"/>
    <dataField name="Count of Shipment ID" fld="0" subtotal="count" baseField="0" baseItem="0"/>
  </dataFields>
  <pivotTableStyleInfo name="PivotStyleMedium9" showRowHeaders="1" showColHeaders="1" showLastColumn="1"/>
  <filters count="1">
    <filter evalOrder="-1" fld="5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01"/>
  <sheetViews>
    <sheetView tabSelected="1" workbookViewId="0">
      <selection activeCell="A1" sqref="A1"/>
    </sheetView>
  </sheetViews>
  <sheetFormatPr defaultColWidth="9" defaultRowHeight="15"/>
  <cols>
    <col min="1" max="1" width="12" customWidth="1"/>
    <col min="2" max="2" width="11.1428571428571" customWidth="1"/>
    <col min="3" max="3" width="23.1428571428571" customWidth="1"/>
    <col min="4" max="4" width="16.5714285714286" customWidth="1"/>
    <col min="5" max="5" width="8.71428571428571" customWidth="1"/>
    <col min="6" max="6" width="11.2857142857143" customWidth="1"/>
    <col min="7" max="7" width="11.1428571428571" customWidth="1"/>
    <col min="8" max="8" width="13" customWidth="1"/>
    <col min="9" max="9" width="15.5714285714286" customWidth="1"/>
    <col min="10" max="10" width="14.2857142857143" customWidth="1"/>
    <col min="11" max="11" width="16.4285714285714" customWidth="1"/>
  </cols>
  <sheetData>
    <row r="1" ht="15.75" spans="1:2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M1" s="10" t="s">
        <v>11</v>
      </c>
      <c r="N1" s="11"/>
      <c r="O1" s="10" t="s">
        <v>12</v>
      </c>
      <c r="P1" s="12"/>
      <c r="Q1" s="12" t="s">
        <v>13</v>
      </c>
      <c r="R1" s="17"/>
      <c r="S1" s="10"/>
      <c r="T1" s="10" t="s">
        <v>14</v>
      </c>
      <c r="U1" s="11"/>
      <c r="V1" s="17" t="s">
        <v>15</v>
      </c>
      <c r="W1" s="17"/>
    </row>
    <row r="2" spans="1:29">
      <c r="A2" s="5" t="s">
        <v>16</v>
      </c>
      <c r="B2" s="6">
        <v>45479</v>
      </c>
      <c r="C2" s="7" t="s">
        <v>17</v>
      </c>
      <c r="D2" s="7" t="s">
        <v>18</v>
      </c>
      <c r="E2" s="8">
        <v>2968</v>
      </c>
      <c r="F2" s="9">
        <v>771.78</v>
      </c>
      <c r="G2" s="6">
        <v>45481</v>
      </c>
      <c r="H2" s="6">
        <v>45525</v>
      </c>
      <c r="I2" s="7" t="s">
        <v>19</v>
      </c>
      <c r="J2" s="7" t="s">
        <v>20</v>
      </c>
      <c r="K2" s="7" t="s">
        <v>21</v>
      </c>
      <c r="M2" s="13">
        <f>H2-G2</f>
        <v>44</v>
      </c>
      <c r="N2" s="14"/>
      <c r="O2" s="15">
        <f>F2/E2</f>
        <v>0.260033692722372</v>
      </c>
      <c r="P2" s="16"/>
      <c r="Q2" s="14">
        <f>G2-B2</f>
        <v>2</v>
      </c>
      <c r="R2" s="14"/>
      <c r="S2" s="14"/>
      <c r="T2" s="13" t="str">
        <f>IF(K2="Yes","On-Time","Delayed")</f>
        <v>Delayed</v>
      </c>
      <c r="U2" s="14"/>
      <c r="V2" s="13" t="str">
        <f>IF(E2&gt;=3000,"High Quantity","Low Quantity")</f>
        <v>Low Quantity</v>
      </c>
      <c r="W2" s="16"/>
      <c r="Z2" s="18" t="s">
        <v>22</v>
      </c>
      <c r="AA2" s="18"/>
      <c r="AB2" s="19">
        <f>AVERAGE(E2:E501)</f>
        <v>2432.848</v>
      </c>
      <c r="AC2" s="1"/>
    </row>
    <row r="3" spans="1:28">
      <c r="A3" s="5" t="s">
        <v>23</v>
      </c>
      <c r="B3" s="6">
        <v>45707</v>
      </c>
      <c r="C3" s="7" t="s">
        <v>24</v>
      </c>
      <c r="D3" s="7" t="s">
        <v>25</v>
      </c>
      <c r="E3" s="8">
        <v>2059</v>
      </c>
      <c r="F3" s="9">
        <v>1960.2</v>
      </c>
      <c r="G3" s="6">
        <v>45710</v>
      </c>
      <c r="H3" s="6">
        <v>45712</v>
      </c>
      <c r="I3" s="7" t="s">
        <v>19</v>
      </c>
      <c r="J3" s="7" t="s">
        <v>26</v>
      </c>
      <c r="K3" s="7" t="s">
        <v>27</v>
      </c>
      <c r="M3" s="13">
        <f t="shared" ref="M3:M66" si="0">H3-G3</f>
        <v>2</v>
      </c>
      <c r="N3" s="14"/>
      <c r="O3" s="15">
        <f t="shared" ref="O3:O66" si="1">F3/E3</f>
        <v>0.952015541525012</v>
      </c>
      <c r="P3" s="16"/>
      <c r="Q3" s="14">
        <f t="shared" ref="Q3:Q66" si="2">G3-B3</f>
        <v>3</v>
      </c>
      <c r="R3" s="14"/>
      <c r="S3" s="14"/>
      <c r="T3" s="13" t="str">
        <f t="shared" ref="T3:T66" si="3">IF(K3="Yes","On-Time","Delayed")</f>
        <v>On-Time</v>
      </c>
      <c r="U3" s="14"/>
      <c r="V3" s="13" t="str">
        <f t="shared" ref="V3:V66" si="4">IF(E3&gt;=3000,"High Quantity","Low Quantity")</f>
        <v>Low Quantity</v>
      </c>
      <c r="W3" s="16"/>
      <c r="AB3" s="1"/>
    </row>
    <row r="4" spans="1:28">
      <c r="A4" s="5" t="s">
        <v>28</v>
      </c>
      <c r="B4" s="6">
        <v>45956</v>
      </c>
      <c r="C4" s="7" t="s">
        <v>29</v>
      </c>
      <c r="D4" s="7" t="s">
        <v>18</v>
      </c>
      <c r="E4" s="8">
        <v>4046</v>
      </c>
      <c r="F4" s="9">
        <v>3253.23</v>
      </c>
      <c r="G4" s="6">
        <v>45959</v>
      </c>
      <c r="H4" s="6">
        <v>45977</v>
      </c>
      <c r="I4" s="7" t="s">
        <v>30</v>
      </c>
      <c r="J4" s="7" t="s">
        <v>20</v>
      </c>
      <c r="K4" s="7" t="s">
        <v>27</v>
      </c>
      <c r="M4" s="13">
        <f t="shared" si="0"/>
        <v>18</v>
      </c>
      <c r="N4" s="14"/>
      <c r="O4" s="15">
        <f t="shared" si="1"/>
        <v>0.804060800790905</v>
      </c>
      <c r="P4" s="16"/>
      <c r="Q4" s="14">
        <f t="shared" si="2"/>
        <v>3</v>
      </c>
      <c r="R4" s="14"/>
      <c r="S4" s="14"/>
      <c r="T4" s="13" t="str">
        <f t="shared" si="3"/>
        <v>On-Time</v>
      </c>
      <c r="U4" s="14"/>
      <c r="V4" s="13" t="str">
        <f t="shared" si="4"/>
        <v>High Quantity</v>
      </c>
      <c r="W4" s="16"/>
      <c r="Z4" s="18" t="s">
        <v>31</v>
      </c>
      <c r="AA4" s="18"/>
      <c r="AB4" s="1"/>
    </row>
    <row r="5" spans="1:28">
      <c r="A5" s="5" t="s">
        <v>32</v>
      </c>
      <c r="B5" s="6">
        <v>45657</v>
      </c>
      <c r="C5" s="7" t="s">
        <v>33</v>
      </c>
      <c r="D5" s="7" t="s">
        <v>34</v>
      </c>
      <c r="E5" s="8">
        <v>4494</v>
      </c>
      <c r="F5" s="9">
        <v>6248.57</v>
      </c>
      <c r="G5" s="6">
        <v>45659</v>
      </c>
      <c r="H5" s="6">
        <v>45666</v>
      </c>
      <c r="I5" s="7" t="s">
        <v>35</v>
      </c>
      <c r="J5" s="7" t="s">
        <v>26</v>
      </c>
      <c r="K5" s="7" t="s">
        <v>27</v>
      </c>
      <c r="M5" s="13">
        <f t="shared" si="0"/>
        <v>7</v>
      </c>
      <c r="N5" s="14"/>
      <c r="O5" s="15">
        <f t="shared" si="1"/>
        <v>1.39042501112595</v>
      </c>
      <c r="P5" s="16"/>
      <c r="Q5" s="14">
        <f t="shared" si="2"/>
        <v>2</v>
      </c>
      <c r="R5" s="14"/>
      <c r="S5" s="14"/>
      <c r="T5" s="13" t="str">
        <f t="shared" si="3"/>
        <v>On-Time</v>
      </c>
      <c r="U5" s="14"/>
      <c r="V5" s="13" t="str">
        <f t="shared" si="4"/>
        <v>High Quantity</v>
      </c>
      <c r="W5" s="16"/>
      <c r="Z5" s="18" t="s">
        <v>36</v>
      </c>
      <c r="AA5" s="18"/>
      <c r="AB5">
        <f>COUNTA(A2:A501)</f>
        <v>500</v>
      </c>
    </row>
    <row r="6" spans="1:23">
      <c r="A6" s="5" t="s">
        <v>37</v>
      </c>
      <c r="B6" s="6">
        <v>45402</v>
      </c>
      <c r="C6" s="7" t="s">
        <v>38</v>
      </c>
      <c r="D6" s="7" t="s">
        <v>39</v>
      </c>
      <c r="E6" s="5">
        <v>927</v>
      </c>
      <c r="F6" s="9">
        <v>6853.79</v>
      </c>
      <c r="G6" s="6">
        <v>45404</v>
      </c>
      <c r="H6" s="6">
        <v>45410</v>
      </c>
      <c r="I6" s="7" t="s">
        <v>19</v>
      </c>
      <c r="J6" s="7" t="s">
        <v>26</v>
      </c>
      <c r="K6" s="7" t="s">
        <v>27</v>
      </c>
      <c r="M6" s="13">
        <f t="shared" si="0"/>
        <v>6</v>
      </c>
      <c r="N6" s="14"/>
      <c r="O6" s="15">
        <f t="shared" si="1"/>
        <v>7.3935167206041</v>
      </c>
      <c r="P6" s="16"/>
      <c r="Q6" s="14">
        <f t="shared" si="2"/>
        <v>2</v>
      </c>
      <c r="R6" s="14"/>
      <c r="S6" s="14"/>
      <c r="T6" s="13" t="str">
        <f t="shared" si="3"/>
        <v>On-Time</v>
      </c>
      <c r="U6" s="14"/>
      <c r="V6" s="13" t="str">
        <f t="shared" si="4"/>
        <v>Low Quantity</v>
      </c>
      <c r="W6" s="16"/>
    </row>
    <row r="7" spans="1:28">
      <c r="A7" s="5" t="s">
        <v>40</v>
      </c>
      <c r="B7" s="6">
        <v>45378</v>
      </c>
      <c r="C7" s="7" t="s">
        <v>29</v>
      </c>
      <c r="D7" s="7" t="s">
        <v>41</v>
      </c>
      <c r="E7" s="8">
        <v>3919</v>
      </c>
      <c r="F7" s="9">
        <v>23291.97</v>
      </c>
      <c r="G7" s="6">
        <v>45379</v>
      </c>
      <c r="H7" s="6">
        <v>45381</v>
      </c>
      <c r="I7" s="7" t="s">
        <v>35</v>
      </c>
      <c r="J7" s="7" t="s">
        <v>26</v>
      </c>
      <c r="K7" s="7" t="s">
        <v>27</v>
      </c>
      <c r="M7" s="13">
        <f t="shared" si="0"/>
        <v>2</v>
      </c>
      <c r="N7" s="14"/>
      <c r="O7" s="15">
        <f t="shared" si="1"/>
        <v>5.94334524113294</v>
      </c>
      <c r="P7" s="16"/>
      <c r="Q7" s="14">
        <f t="shared" si="2"/>
        <v>1</v>
      </c>
      <c r="R7" s="14"/>
      <c r="S7" s="14"/>
      <c r="T7" s="13" t="str">
        <f t="shared" si="3"/>
        <v>On-Time</v>
      </c>
      <c r="U7" s="14"/>
      <c r="V7" s="13" t="str">
        <f t="shared" si="4"/>
        <v>High Quantity</v>
      </c>
      <c r="W7" s="16"/>
      <c r="Z7" s="18" t="s">
        <v>42</v>
      </c>
      <c r="AA7" s="18"/>
      <c r="AB7" s="19">
        <f>MAX(E2:E501)</f>
        <v>4996</v>
      </c>
    </row>
    <row r="8" spans="1:23">
      <c r="A8" s="5" t="s">
        <v>43</v>
      </c>
      <c r="B8" s="6">
        <v>45482</v>
      </c>
      <c r="C8" s="7" t="s">
        <v>17</v>
      </c>
      <c r="D8" s="7" t="s">
        <v>39</v>
      </c>
      <c r="E8" s="8">
        <v>4192</v>
      </c>
      <c r="F8" s="9">
        <v>18586.28</v>
      </c>
      <c r="G8" s="6">
        <v>45483</v>
      </c>
      <c r="H8" s="6">
        <v>45489</v>
      </c>
      <c r="I8" s="7" t="s">
        <v>19</v>
      </c>
      <c r="J8" s="7" t="s">
        <v>44</v>
      </c>
      <c r="K8" s="7" t="s">
        <v>27</v>
      </c>
      <c r="M8" s="13">
        <f t="shared" si="0"/>
        <v>6</v>
      </c>
      <c r="N8" s="14"/>
      <c r="O8" s="15">
        <f t="shared" si="1"/>
        <v>4.43375</v>
      </c>
      <c r="P8" s="16"/>
      <c r="Q8" s="14">
        <f t="shared" si="2"/>
        <v>1</v>
      </c>
      <c r="R8" s="14"/>
      <c r="S8" s="14"/>
      <c r="T8" s="13" t="str">
        <f t="shared" si="3"/>
        <v>On-Time</v>
      </c>
      <c r="U8" s="14"/>
      <c r="V8" s="13" t="str">
        <f t="shared" si="4"/>
        <v>High Quantity</v>
      </c>
      <c r="W8" s="16"/>
    </row>
    <row r="9" spans="1:28">
      <c r="A9" s="5" t="s">
        <v>45</v>
      </c>
      <c r="B9" s="6">
        <v>45681</v>
      </c>
      <c r="C9" s="7" t="s">
        <v>24</v>
      </c>
      <c r="D9" s="7" t="s">
        <v>46</v>
      </c>
      <c r="E9" s="5">
        <v>372</v>
      </c>
      <c r="F9" s="9">
        <v>5850.56</v>
      </c>
      <c r="G9" s="6">
        <v>45683</v>
      </c>
      <c r="H9" s="6">
        <v>45695</v>
      </c>
      <c r="I9" s="7" t="s">
        <v>30</v>
      </c>
      <c r="J9" s="7" t="s">
        <v>44</v>
      </c>
      <c r="K9" s="7" t="s">
        <v>27</v>
      </c>
      <c r="M9" s="13">
        <f t="shared" si="0"/>
        <v>12</v>
      </c>
      <c r="N9" s="14"/>
      <c r="O9" s="15">
        <f t="shared" si="1"/>
        <v>15.727311827957</v>
      </c>
      <c r="P9" s="16"/>
      <c r="Q9" s="14">
        <f t="shared" si="2"/>
        <v>2</v>
      </c>
      <c r="R9" s="14"/>
      <c r="S9" s="14"/>
      <c r="T9" s="13" t="str">
        <f t="shared" si="3"/>
        <v>On-Time</v>
      </c>
      <c r="U9" s="14"/>
      <c r="V9" s="13" t="str">
        <f t="shared" si="4"/>
        <v>Low Quantity</v>
      </c>
      <c r="W9" s="16"/>
      <c r="Z9" s="18" t="s">
        <v>47</v>
      </c>
      <c r="AA9" s="18"/>
      <c r="AB9" s="19">
        <f>MIN(E2:E501)</f>
        <v>10</v>
      </c>
    </row>
    <row r="10" spans="1:23">
      <c r="A10" s="5" t="s">
        <v>48</v>
      </c>
      <c r="B10" s="6">
        <v>45759</v>
      </c>
      <c r="C10" s="7" t="s">
        <v>38</v>
      </c>
      <c r="D10" s="7" t="s">
        <v>34</v>
      </c>
      <c r="E10" s="8">
        <v>1800</v>
      </c>
      <c r="F10" s="9">
        <v>8869.92</v>
      </c>
      <c r="G10" s="6">
        <v>45762</v>
      </c>
      <c r="H10" s="6">
        <v>45772</v>
      </c>
      <c r="I10" s="7" t="s">
        <v>49</v>
      </c>
      <c r="J10" s="7" t="s">
        <v>44</v>
      </c>
      <c r="K10" s="7" t="s">
        <v>27</v>
      </c>
      <c r="M10" s="13">
        <f t="shared" si="0"/>
        <v>10</v>
      </c>
      <c r="N10" s="14"/>
      <c r="O10" s="15">
        <f t="shared" si="1"/>
        <v>4.92773333333333</v>
      </c>
      <c r="P10" s="16"/>
      <c r="Q10" s="14">
        <f t="shared" si="2"/>
        <v>3</v>
      </c>
      <c r="R10" s="14"/>
      <c r="S10" s="14"/>
      <c r="T10" s="13" t="str">
        <f t="shared" si="3"/>
        <v>On-Time</v>
      </c>
      <c r="U10" s="14"/>
      <c r="V10" s="13" t="str">
        <f t="shared" si="4"/>
        <v>Low Quantity</v>
      </c>
      <c r="W10" s="16"/>
    </row>
    <row r="11" spans="1:27">
      <c r="A11" s="5" t="s">
        <v>50</v>
      </c>
      <c r="B11" s="6">
        <v>45735</v>
      </c>
      <c r="C11" s="7" t="s">
        <v>17</v>
      </c>
      <c r="D11" s="7" t="s">
        <v>51</v>
      </c>
      <c r="E11" s="8">
        <v>1503</v>
      </c>
      <c r="F11" s="9">
        <v>8566.53</v>
      </c>
      <c r="G11" s="6">
        <v>45738</v>
      </c>
      <c r="H11" s="6">
        <v>45746</v>
      </c>
      <c r="I11" s="7" t="s">
        <v>35</v>
      </c>
      <c r="J11" s="7" t="s">
        <v>26</v>
      </c>
      <c r="K11" s="7" t="s">
        <v>27</v>
      </c>
      <c r="M11" s="13">
        <f t="shared" si="0"/>
        <v>8</v>
      </c>
      <c r="N11" s="14"/>
      <c r="O11" s="15">
        <f t="shared" si="1"/>
        <v>5.69962075848303</v>
      </c>
      <c r="P11" s="16"/>
      <c r="Q11" s="14">
        <f t="shared" si="2"/>
        <v>3</v>
      </c>
      <c r="R11" s="14"/>
      <c r="S11" s="14"/>
      <c r="T11" s="13" t="str">
        <f t="shared" si="3"/>
        <v>On-Time</v>
      </c>
      <c r="U11" s="14"/>
      <c r="V11" s="13" t="str">
        <f t="shared" si="4"/>
        <v>Low Quantity</v>
      </c>
      <c r="W11" s="16"/>
      <c r="Z11" s="18" t="s">
        <v>52</v>
      </c>
      <c r="AA11" s="18"/>
    </row>
    <row r="12" spans="1:28">
      <c r="A12" s="5" t="s">
        <v>53</v>
      </c>
      <c r="B12" s="6">
        <v>45409</v>
      </c>
      <c r="C12" s="7" t="s">
        <v>54</v>
      </c>
      <c r="D12" s="7" t="s">
        <v>51</v>
      </c>
      <c r="E12" s="5">
        <v>10</v>
      </c>
      <c r="F12" s="9">
        <v>9370.82</v>
      </c>
      <c r="G12" s="6">
        <v>45410</v>
      </c>
      <c r="H12" s="6">
        <v>45417</v>
      </c>
      <c r="I12" s="7" t="s">
        <v>30</v>
      </c>
      <c r="J12" s="7" t="s">
        <v>26</v>
      </c>
      <c r="K12" s="7" t="s">
        <v>27</v>
      </c>
      <c r="M12" s="13">
        <f t="shared" si="0"/>
        <v>7</v>
      </c>
      <c r="N12" s="14"/>
      <c r="O12" s="15">
        <f t="shared" si="1"/>
        <v>937.082</v>
      </c>
      <c r="P12" s="16"/>
      <c r="Q12" s="14">
        <f t="shared" si="2"/>
        <v>1</v>
      </c>
      <c r="R12" s="14"/>
      <c r="S12" s="14"/>
      <c r="T12" s="13" t="str">
        <f t="shared" si="3"/>
        <v>On-Time</v>
      </c>
      <c r="U12" s="14"/>
      <c r="V12" s="13" t="str">
        <f t="shared" si="4"/>
        <v>Low Quantity</v>
      </c>
      <c r="W12" s="16"/>
      <c r="Z12" s="18" t="s">
        <v>24</v>
      </c>
      <c r="AA12" s="18"/>
      <c r="AB12">
        <f>SUMIF(C2:$C$501,"Midwest Industrial",$F$2:$F$501)</f>
        <v>388447.19</v>
      </c>
    </row>
    <row r="13" spans="1:23">
      <c r="A13" s="5" t="s">
        <v>55</v>
      </c>
      <c r="B13" s="6">
        <v>45376</v>
      </c>
      <c r="C13" s="7" t="s">
        <v>56</v>
      </c>
      <c r="D13" s="7" t="s">
        <v>39</v>
      </c>
      <c r="E13" s="8">
        <v>4742</v>
      </c>
      <c r="F13" s="9">
        <v>5525.28</v>
      </c>
      <c r="G13" s="6">
        <v>45379</v>
      </c>
      <c r="H13" s="6">
        <v>45387</v>
      </c>
      <c r="I13" s="7" t="s">
        <v>49</v>
      </c>
      <c r="J13" s="7" t="s">
        <v>26</v>
      </c>
      <c r="K13" s="7" t="s">
        <v>27</v>
      </c>
      <c r="M13" s="13">
        <f t="shared" si="0"/>
        <v>8</v>
      </c>
      <c r="N13" s="14"/>
      <c r="O13" s="15">
        <f t="shared" si="1"/>
        <v>1.16517924926191</v>
      </c>
      <c r="P13" s="16"/>
      <c r="Q13" s="14">
        <f t="shared" si="2"/>
        <v>3</v>
      </c>
      <c r="R13" s="14"/>
      <c r="S13" s="14"/>
      <c r="T13" s="13" t="str">
        <f t="shared" si="3"/>
        <v>On-Time</v>
      </c>
      <c r="U13" s="14"/>
      <c r="V13" s="13" t="str">
        <f t="shared" si="4"/>
        <v>High Quantity</v>
      </c>
      <c r="W13" s="16"/>
    </row>
    <row r="14" spans="1:27">
      <c r="A14" s="5" t="s">
        <v>57</v>
      </c>
      <c r="B14" s="6">
        <v>45757</v>
      </c>
      <c r="C14" s="7" t="s">
        <v>58</v>
      </c>
      <c r="D14" s="7" t="s">
        <v>41</v>
      </c>
      <c r="E14" s="8">
        <v>1902</v>
      </c>
      <c r="F14" s="9">
        <v>11504.1</v>
      </c>
      <c r="G14" s="6">
        <v>45759</v>
      </c>
      <c r="H14" s="6">
        <v>45761</v>
      </c>
      <c r="I14" s="7" t="s">
        <v>35</v>
      </c>
      <c r="J14" s="7" t="s">
        <v>59</v>
      </c>
      <c r="K14" s="7" t="s">
        <v>27</v>
      </c>
      <c r="M14" s="13">
        <f t="shared" si="0"/>
        <v>2</v>
      </c>
      <c r="N14" s="14"/>
      <c r="O14" s="15">
        <f t="shared" si="1"/>
        <v>6.04842271293375</v>
      </c>
      <c r="P14" s="16"/>
      <c r="Q14" s="14">
        <f t="shared" si="2"/>
        <v>2</v>
      </c>
      <c r="R14" s="14"/>
      <c r="S14" s="14"/>
      <c r="T14" s="13" t="str">
        <f t="shared" si="3"/>
        <v>On-Time</v>
      </c>
      <c r="U14" s="14"/>
      <c r="V14" s="13" t="str">
        <f t="shared" si="4"/>
        <v>Low Quantity</v>
      </c>
      <c r="W14" s="16"/>
      <c r="Z14" s="18" t="s">
        <v>60</v>
      </c>
      <c r="AA14" s="18"/>
    </row>
    <row r="15" spans="1:28">
      <c r="A15" s="5" t="s">
        <v>61</v>
      </c>
      <c r="B15" s="6">
        <v>45338</v>
      </c>
      <c r="C15" s="7" t="s">
        <v>56</v>
      </c>
      <c r="D15" s="7" t="s">
        <v>34</v>
      </c>
      <c r="E15" s="8">
        <v>4431</v>
      </c>
      <c r="F15" s="9">
        <v>41281.18</v>
      </c>
      <c r="G15" s="6">
        <v>45340</v>
      </c>
      <c r="H15" s="6">
        <v>45344</v>
      </c>
      <c r="I15" s="7" t="s">
        <v>30</v>
      </c>
      <c r="J15" s="7" t="s">
        <v>26</v>
      </c>
      <c r="K15" s="7" t="s">
        <v>27</v>
      </c>
      <c r="M15" s="13">
        <f t="shared" si="0"/>
        <v>4</v>
      </c>
      <c r="N15" s="14"/>
      <c r="O15" s="15">
        <f t="shared" si="1"/>
        <v>9.31644775445723</v>
      </c>
      <c r="P15" s="16"/>
      <c r="Q15" s="14">
        <f t="shared" si="2"/>
        <v>2</v>
      </c>
      <c r="R15" s="14"/>
      <c r="S15" s="14"/>
      <c r="T15" s="13" t="str">
        <f t="shared" si="3"/>
        <v>On-Time</v>
      </c>
      <c r="U15" s="14"/>
      <c r="V15" s="13" t="str">
        <f t="shared" si="4"/>
        <v>High Quantity</v>
      </c>
      <c r="W15" s="16"/>
      <c r="Z15" s="18" t="s">
        <v>62</v>
      </c>
      <c r="AA15" s="18"/>
      <c r="AB15">
        <f>AVERAGEIF($D$2:$D$501,"Electronics",$F$2:$F$501)</f>
        <v>12180.6304444444</v>
      </c>
    </row>
    <row r="16" spans="1:23">
      <c r="A16" s="5" t="s">
        <v>63</v>
      </c>
      <c r="B16" s="6">
        <v>45871</v>
      </c>
      <c r="C16" s="7" t="s">
        <v>24</v>
      </c>
      <c r="D16" s="7" t="s">
        <v>39</v>
      </c>
      <c r="E16" s="8">
        <v>2425</v>
      </c>
      <c r="F16" s="9">
        <v>19097.85</v>
      </c>
      <c r="G16" s="6">
        <v>45872</v>
      </c>
      <c r="H16" s="6">
        <v>45875</v>
      </c>
      <c r="I16" s="7" t="s">
        <v>49</v>
      </c>
      <c r="J16" s="7" t="s">
        <v>59</v>
      </c>
      <c r="K16" s="7" t="s">
        <v>27</v>
      </c>
      <c r="M16" s="13">
        <f t="shared" si="0"/>
        <v>3</v>
      </c>
      <c r="N16" s="14"/>
      <c r="O16" s="15">
        <f t="shared" si="1"/>
        <v>7.87540206185567</v>
      </c>
      <c r="P16" s="16"/>
      <c r="Q16" s="14">
        <f t="shared" si="2"/>
        <v>1</v>
      </c>
      <c r="R16" s="14"/>
      <c r="S16" s="14"/>
      <c r="T16" s="13" t="str">
        <f t="shared" si="3"/>
        <v>On-Time</v>
      </c>
      <c r="U16" s="14"/>
      <c r="V16" s="13" t="str">
        <f t="shared" si="4"/>
        <v>Low Quantity</v>
      </c>
      <c r="W16" s="16"/>
    </row>
    <row r="17" spans="1:27">
      <c r="A17" s="5" t="s">
        <v>64</v>
      </c>
      <c r="B17" s="6">
        <v>45334</v>
      </c>
      <c r="C17" s="7" t="s">
        <v>65</v>
      </c>
      <c r="D17" s="7" t="s">
        <v>41</v>
      </c>
      <c r="E17" s="5">
        <v>136</v>
      </c>
      <c r="F17" s="9">
        <v>5835.74</v>
      </c>
      <c r="G17" s="6">
        <v>45337</v>
      </c>
      <c r="H17" s="6">
        <v>45339</v>
      </c>
      <c r="I17" s="7" t="s">
        <v>35</v>
      </c>
      <c r="J17" s="7" t="s">
        <v>26</v>
      </c>
      <c r="K17" s="7" t="s">
        <v>27</v>
      </c>
      <c r="M17" s="13">
        <f t="shared" si="0"/>
        <v>2</v>
      </c>
      <c r="N17" s="14"/>
      <c r="O17" s="15">
        <f t="shared" si="1"/>
        <v>42.9098529411765</v>
      </c>
      <c r="P17" s="16"/>
      <c r="Q17" s="14">
        <f t="shared" si="2"/>
        <v>3</v>
      </c>
      <c r="R17" s="14"/>
      <c r="S17" s="14"/>
      <c r="T17" s="13" t="str">
        <f t="shared" si="3"/>
        <v>On-Time</v>
      </c>
      <c r="U17" s="14"/>
      <c r="V17" s="13" t="str">
        <f t="shared" si="4"/>
        <v>Low Quantity</v>
      </c>
      <c r="W17" s="16"/>
      <c r="Z17" s="18" t="s">
        <v>66</v>
      </c>
      <c r="AA17" s="18"/>
    </row>
    <row r="18" spans="1:28">
      <c r="A18" s="5" t="s">
        <v>67</v>
      </c>
      <c r="B18" s="6">
        <v>45480</v>
      </c>
      <c r="C18" s="7" t="s">
        <v>68</v>
      </c>
      <c r="D18" s="7" t="s">
        <v>51</v>
      </c>
      <c r="E18" s="8">
        <v>3714</v>
      </c>
      <c r="F18" s="9">
        <v>4710.9</v>
      </c>
      <c r="G18" s="6">
        <v>45483</v>
      </c>
      <c r="H18" s="6">
        <v>45498</v>
      </c>
      <c r="I18" s="7" t="s">
        <v>49</v>
      </c>
      <c r="J18" s="7" t="s">
        <v>20</v>
      </c>
      <c r="K18" s="7" t="s">
        <v>27</v>
      </c>
      <c r="M18" s="13">
        <f t="shared" si="0"/>
        <v>15</v>
      </c>
      <c r="N18" s="14"/>
      <c r="O18" s="15">
        <f t="shared" si="1"/>
        <v>1.26841680129241</v>
      </c>
      <c r="P18" s="16"/>
      <c r="Q18" s="14">
        <f t="shared" si="2"/>
        <v>3</v>
      </c>
      <c r="R18" s="14"/>
      <c r="S18" s="14"/>
      <c r="T18" s="13" t="str">
        <f t="shared" si="3"/>
        <v>On-Time</v>
      </c>
      <c r="U18" s="14"/>
      <c r="V18" s="13" t="str">
        <f t="shared" si="4"/>
        <v>High Quantity</v>
      </c>
      <c r="W18" s="16"/>
      <c r="Z18" s="18" t="s">
        <v>36</v>
      </c>
      <c r="AA18" s="18"/>
      <c r="AB18">
        <f>COUNTIF($K$2:$K$501,"No")</f>
        <v>100</v>
      </c>
    </row>
    <row r="19" spans="1:23">
      <c r="A19" s="5" t="s">
        <v>69</v>
      </c>
      <c r="B19" s="6">
        <v>45734</v>
      </c>
      <c r="C19" s="7" t="s">
        <v>54</v>
      </c>
      <c r="D19" s="7" t="s">
        <v>41</v>
      </c>
      <c r="E19" s="8">
        <v>2708</v>
      </c>
      <c r="F19" s="9">
        <v>13095.54</v>
      </c>
      <c r="G19" s="6">
        <v>45736</v>
      </c>
      <c r="H19" s="6">
        <v>45740</v>
      </c>
      <c r="I19" s="7" t="s">
        <v>35</v>
      </c>
      <c r="J19" s="7" t="s">
        <v>26</v>
      </c>
      <c r="K19" s="7" t="s">
        <v>27</v>
      </c>
      <c r="M19" s="13">
        <f t="shared" si="0"/>
        <v>4</v>
      </c>
      <c r="N19" s="14"/>
      <c r="O19" s="15">
        <f t="shared" si="1"/>
        <v>4.83587149187592</v>
      </c>
      <c r="P19" s="16"/>
      <c r="Q19" s="14">
        <f t="shared" si="2"/>
        <v>2</v>
      </c>
      <c r="R19" s="14"/>
      <c r="S19" s="14"/>
      <c r="T19" s="13" t="str">
        <f t="shared" si="3"/>
        <v>On-Time</v>
      </c>
      <c r="U19" s="14"/>
      <c r="V19" s="13" t="str">
        <f t="shared" si="4"/>
        <v>Low Quantity</v>
      </c>
      <c r="W19" s="16"/>
    </row>
    <row r="20" spans="1:27">
      <c r="A20" s="5" t="s">
        <v>70</v>
      </c>
      <c r="B20" s="6">
        <v>45479</v>
      </c>
      <c r="C20" s="7" t="s">
        <v>56</v>
      </c>
      <c r="D20" s="7" t="s">
        <v>41</v>
      </c>
      <c r="E20" s="8">
        <v>1664</v>
      </c>
      <c r="F20" s="9">
        <v>1153.65</v>
      </c>
      <c r="G20" s="6">
        <v>45482</v>
      </c>
      <c r="H20" s="6">
        <v>45496</v>
      </c>
      <c r="I20" s="7" t="s">
        <v>49</v>
      </c>
      <c r="J20" s="7" t="s">
        <v>20</v>
      </c>
      <c r="K20" s="7" t="s">
        <v>27</v>
      </c>
      <c r="M20" s="13">
        <f t="shared" si="0"/>
        <v>14</v>
      </c>
      <c r="N20" s="14"/>
      <c r="O20" s="15">
        <f t="shared" si="1"/>
        <v>0.693299278846154</v>
      </c>
      <c r="P20" s="16"/>
      <c r="Q20" s="14">
        <f t="shared" si="2"/>
        <v>3</v>
      </c>
      <c r="R20" s="14"/>
      <c r="S20" s="14"/>
      <c r="T20" s="13" t="str">
        <f t="shared" si="3"/>
        <v>On-Time</v>
      </c>
      <c r="U20" s="14"/>
      <c r="V20" s="13" t="str">
        <f t="shared" si="4"/>
        <v>Low Quantity</v>
      </c>
      <c r="W20" s="16"/>
      <c r="Z20" s="18" t="s">
        <v>71</v>
      </c>
      <c r="AA20" s="18"/>
    </row>
    <row r="21" spans="1:28">
      <c r="A21" s="5" t="s">
        <v>72</v>
      </c>
      <c r="B21" s="6">
        <v>45354</v>
      </c>
      <c r="C21" s="7" t="s">
        <v>56</v>
      </c>
      <c r="D21" s="7" t="s">
        <v>34</v>
      </c>
      <c r="E21" s="8">
        <v>4388</v>
      </c>
      <c r="F21" s="9">
        <v>44799.1</v>
      </c>
      <c r="G21" s="6">
        <v>45356</v>
      </c>
      <c r="H21" s="6">
        <v>45360</v>
      </c>
      <c r="I21" s="7" t="s">
        <v>30</v>
      </c>
      <c r="J21" s="7" t="s">
        <v>26</v>
      </c>
      <c r="K21" s="7" t="s">
        <v>27</v>
      </c>
      <c r="M21" s="13">
        <f t="shared" si="0"/>
        <v>4</v>
      </c>
      <c r="N21" s="14"/>
      <c r="O21" s="15">
        <f t="shared" si="1"/>
        <v>10.2094576116682</v>
      </c>
      <c r="P21" s="16"/>
      <c r="Q21" s="14">
        <f t="shared" si="2"/>
        <v>2</v>
      </c>
      <c r="R21" s="14"/>
      <c r="S21" s="14"/>
      <c r="T21" s="13" t="str">
        <f t="shared" si="3"/>
        <v>On-Time</v>
      </c>
      <c r="U21" s="14"/>
      <c r="V21" s="13" t="str">
        <f t="shared" si="4"/>
        <v>High Quantity</v>
      </c>
      <c r="W21" s="16"/>
      <c r="Z21" s="18" t="s">
        <v>36</v>
      </c>
      <c r="AA21" s="18"/>
      <c r="AB21">
        <f>COUNTIF($K$2:$K$501,"Yes")</f>
        <v>400</v>
      </c>
    </row>
    <row r="22" spans="1:23">
      <c r="A22" s="5" t="s">
        <v>73</v>
      </c>
      <c r="B22" s="6">
        <v>45551</v>
      </c>
      <c r="C22" s="7" t="s">
        <v>29</v>
      </c>
      <c r="D22" s="7" t="s">
        <v>51</v>
      </c>
      <c r="E22" s="8">
        <v>3329</v>
      </c>
      <c r="F22" s="9">
        <v>10705.37</v>
      </c>
      <c r="G22" s="6">
        <v>45553</v>
      </c>
      <c r="H22" s="6">
        <v>45560</v>
      </c>
      <c r="I22" s="7" t="s">
        <v>49</v>
      </c>
      <c r="J22" s="7" t="s">
        <v>26</v>
      </c>
      <c r="K22" s="7" t="s">
        <v>27</v>
      </c>
      <c r="M22" s="13">
        <f t="shared" si="0"/>
        <v>7</v>
      </c>
      <c r="N22" s="14"/>
      <c r="O22" s="15">
        <f t="shared" si="1"/>
        <v>3.21579152898768</v>
      </c>
      <c r="P22" s="16"/>
      <c r="Q22" s="14">
        <f t="shared" si="2"/>
        <v>2</v>
      </c>
      <c r="R22" s="14"/>
      <c r="S22" s="14"/>
      <c r="T22" s="13" t="str">
        <f t="shared" si="3"/>
        <v>On-Time</v>
      </c>
      <c r="U22" s="14"/>
      <c r="V22" s="13" t="str">
        <f t="shared" si="4"/>
        <v>High Quantity</v>
      </c>
      <c r="W22" s="16"/>
    </row>
    <row r="23" spans="1:23">
      <c r="A23" s="5" t="s">
        <v>74</v>
      </c>
      <c r="B23" s="6">
        <v>45527</v>
      </c>
      <c r="C23" s="7" t="s">
        <v>29</v>
      </c>
      <c r="D23" s="7" t="s">
        <v>51</v>
      </c>
      <c r="E23" s="5">
        <v>741</v>
      </c>
      <c r="F23" s="9">
        <v>7057.45</v>
      </c>
      <c r="G23" s="6">
        <v>45529</v>
      </c>
      <c r="H23" s="6">
        <v>45531</v>
      </c>
      <c r="I23" s="7" t="s">
        <v>49</v>
      </c>
      <c r="J23" s="7" t="s">
        <v>59</v>
      </c>
      <c r="K23" s="7" t="s">
        <v>27</v>
      </c>
      <c r="M23" s="13">
        <f t="shared" si="0"/>
        <v>2</v>
      </c>
      <c r="N23" s="14"/>
      <c r="O23" s="15">
        <f t="shared" si="1"/>
        <v>9.52422402159244</v>
      </c>
      <c r="P23" s="16"/>
      <c r="Q23" s="14">
        <f t="shared" si="2"/>
        <v>2</v>
      </c>
      <c r="R23" s="14"/>
      <c r="S23" s="14"/>
      <c r="T23" s="13" t="str">
        <f t="shared" si="3"/>
        <v>On-Time</v>
      </c>
      <c r="U23" s="14"/>
      <c r="V23" s="13" t="str">
        <f t="shared" si="4"/>
        <v>Low Quantity</v>
      </c>
      <c r="W23" s="16"/>
    </row>
    <row r="24" spans="1:23">
      <c r="A24" s="5" t="s">
        <v>75</v>
      </c>
      <c r="B24" s="6">
        <v>45903</v>
      </c>
      <c r="C24" s="7" t="s">
        <v>76</v>
      </c>
      <c r="D24" s="7" t="s">
        <v>77</v>
      </c>
      <c r="E24" s="8">
        <v>1893</v>
      </c>
      <c r="F24" s="9">
        <v>12774.03</v>
      </c>
      <c r="G24" s="6">
        <v>45905</v>
      </c>
      <c r="H24" s="6">
        <v>45914</v>
      </c>
      <c r="I24" s="7" t="s">
        <v>30</v>
      </c>
      <c r="J24" s="7" t="s">
        <v>26</v>
      </c>
      <c r="K24" s="7" t="s">
        <v>21</v>
      </c>
      <c r="M24" s="13">
        <f t="shared" si="0"/>
        <v>9</v>
      </c>
      <c r="N24" s="14"/>
      <c r="O24" s="15">
        <f t="shared" si="1"/>
        <v>6.74803486529319</v>
      </c>
      <c r="P24" s="16"/>
      <c r="Q24" s="14">
        <f t="shared" si="2"/>
        <v>2</v>
      </c>
      <c r="R24" s="14"/>
      <c r="S24" s="14"/>
      <c r="T24" s="13" t="str">
        <f t="shared" si="3"/>
        <v>Delayed</v>
      </c>
      <c r="U24" s="14"/>
      <c r="V24" s="13" t="str">
        <f t="shared" si="4"/>
        <v>Low Quantity</v>
      </c>
      <c r="W24" s="16"/>
    </row>
    <row r="25" spans="1:23">
      <c r="A25" s="5" t="s">
        <v>78</v>
      </c>
      <c r="B25" s="6">
        <v>45933</v>
      </c>
      <c r="C25" s="7" t="s">
        <v>79</v>
      </c>
      <c r="D25" s="7" t="s">
        <v>39</v>
      </c>
      <c r="E25" s="8">
        <v>1581</v>
      </c>
      <c r="F25" s="9">
        <v>4552.75</v>
      </c>
      <c r="G25" s="6">
        <v>45936</v>
      </c>
      <c r="H25" s="6">
        <v>45940</v>
      </c>
      <c r="I25" s="7" t="s">
        <v>35</v>
      </c>
      <c r="J25" s="7" t="s">
        <v>59</v>
      </c>
      <c r="K25" s="7" t="s">
        <v>27</v>
      </c>
      <c r="M25" s="13">
        <f t="shared" si="0"/>
        <v>4</v>
      </c>
      <c r="N25" s="14"/>
      <c r="O25" s="15">
        <f t="shared" si="1"/>
        <v>2.87966476913346</v>
      </c>
      <c r="P25" s="16"/>
      <c r="Q25" s="14">
        <f t="shared" si="2"/>
        <v>3</v>
      </c>
      <c r="R25" s="14"/>
      <c r="S25" s="14"/>
      <c r="T25" s="13" t="str">
        <f t="shared" si="3"/>
        <v>On-Time</v>
      </c>
      <c r="U25" s="14"/>
      <c r="V25" s="13" t="str">
        <f t="shared" si="4"/>
        <v>Low Quantity</v>
      </c>
      <c r="W25" s="16"/>
    </row>
    <row r="26" spans="1:23">
      <c r="A26" s="5" t="s">
        <v>80</v>
      </c>
      <c r="B26" s="6">
        <v>45887</v>
      </c>
      <c r="C26" s="7" t="s">
        <v>56</v>
      </c>
      <c r="D26" s="7" t="s">
        <v>81</v>
      </c>
      <c r="E26" s="8">
        <v>4835</v>
      </c>
      <c r="F26" s="9">
        <v>97.93</v>
      </c>
      <c r="G26" s="6">
        <v>45889</v>
      </c>
      <c r="H26" s="6">
        <v>45908</v>
      </c>
      <c r="I26" s="7" t="s">
        <v>49</v>
      </c>
      <c r="J26" s="7" t="s">
        <v>20</v>
      </c>
      <c r="K26" s="7" t="s">
        <v>27</v>
      </c>
      <c r="M26" s="13">
        <f t="shared" si="0"/>
        <v>19</v>
      </c>
      <c r="N26" s="14"/>
      <c r="O26" s="15">
        <f t="shared" si="1"/>
        <v>0.0202543950361944</v>
      </c>
      <c r="P26" s="16"/>
      <c r="Q26" s="14">
        <f t="shared" si="2"/>
        <v>2</v>
      </c>
      <c r="R26" s="14"/>
      <c r="S26" s="14"/>
      <c r="T26" s="13" t="str">
        <f t="shared" si="3"/>
        <v>On-Time</v>
      </c>
      <c r="U26" s="14"/>
      <c r="V26" s="13" t="str">
        <f t="shared" si="4"/>
        <v>High Quantity</v>
      </c>
      <c r="W26" s="16"/>
    </row>
    <row r="27" spans="1:23">
      <c r="A27" s="5" t="s">
        <v>82</v>
      </c>
      <c r="B27" s="6">
        <v>45889</v>
      </c>
      <c r="C27" s="7" t="s">
        <v>56</v>
      </c>
      <c r="D27" s="7" t="s">
        <v>34</v>
      </c>
      <c r="E27" s="8">
        <v>2307</v>
      </c>
      <c r="F27" s="9">
        <v>45449.71</v>
      </c>
      <c r="G27" s="6">
        <v>45890</v>
      </c>
      <c r="H27" s="6">
        <v>45897</v>
      </c>
      <c r="I27" s="7" t="s">
        <v>19</v>
      </c>
      <c r="J27" s="7" t="s">
        <v>26</v>
      </c>
      <c r="K27" s="7" t="s">
        <v>27</v>
      </c>
      <c r="M27" s="13">
        <f t="shared" si="0"/>
        <v>7</v>
      </c>
      <c r="N27" s="14"/>
      <c r="O27" s="15">
        <f t="shared" si="1"/>
        <v>19.7007845687039</v>
      </c>
      <c r="P27" s="16"/>
      <c r="Q27" s="14">
        <f t="shared" si="2"/>
        <v>1</v>
      </c>
      <c r="R27" s="14"/>
      <c r="S27" s="14"/>
      <c r="T27" s="13" t="str">
        <f t="shared" si="3"/>
        <v>On-Time</v>
      </c>
      <c r="U27" s="14"/>
      <c r="V27" s="13" t="str">
        <f t="shared" si="4"/>
        <v>Low Quantity</v>
      </c>
      <c r="W27" s="16"/>
    </row>
    <row r="28" spans="1:23">
      <c r="A28" s="5" t="s">
        <v>83</v>
      </c>
      <c r="B28" s="6">
        <v>45844</v>
      </c>
      <c r="C28" s="7" t="s">
        <v>17</v>
      </c>
      <c r="D28" s="7" t="s">
        <v>77</v>
      </c>
      <c r="E28" s="8">
        <v>4207</v>
      </c>
      <c r="F28" s="9">
        <v>11475.57</v>
      </c>
      <c r="G28" s="6">
        <v>45845</v>
      </c>
      <c r="H28" s="6">
        <v>45850</v>
      </c>
      <c r="I28" s="7" t="s">
        <v>49</v>
      </c>
      <c r="J28" s="7" t="s">
        <v>59</v>
      </c>
      <c r="K28" s="7" t="s">
        <v>27</v>
      </c>
      <c r="M28" s="13">
        <f t="shared" si="0"/>
        <v>5</v>
      </c>
      <c r="N28" s="14"/>
      <c r="O28" s="15">
        <f t="shared" si="1"/>
        <v>2.72773235084383</v>
      </c>
      <c r="P28" s="16"/>
      <c r="Q28" s="14">
        <f t="shared" si="2"/>
        <v>1</v>
      </c>
      <c r="R28" s="14"/>
      <c r="S28" s="14"/>
      <c r="T28" s="13" t="str">
        <f t="shared" si="3"/>
        <v>On-Time</v>
      </c>
      <c r="U28" s="14"/>
      <c r="V28" s="13" t="str">
        <f t="shared" si="4"/>
        <v>High Quantity</v>
      </c>
      <c r="W28" s="16"/>
    </row>
    <row r="29" spans="1:23">
      <c r="A29" s="5" t="s">
        <v>84</v>
      </c>
      <c r="B29" s="6">
        <v>45645</v>
      </c>
      <c r="C29" s="7" t="s">
        <v>79</v>
      </c>
      <c r="D29" s="7" t="s">
        <v>41</v>
      </c>
      <c r="E29" s="8">
        <v>1641</v>
      </c>
      <c r="F29" s="9">
        <v>7802.81</v>
      </c>
      <c r="G29" s="6">
        <v>45648</v>
      </c>
      <c r="H29" s="6">
        <v>45651</v>
      </c>
      <c r="I29" s="7" t="s">
        <v>49</v>
      </c>
      <c r="J29" s="7" t="s">
        <v>26</v>
      </c>
      <c r="K29" s="7" t="s">
        <v>27</v>
      </c>
      <c r="M29" s="13">
        <f t="shared" si="0"/>
        <v>3</v>
      </c>
      <c r="N29" s="14"/>
      <c r="O29" s="15">
        <f t="shared" si="1"/>
        <v>4.75491163924436</v>
      </c>
      <c r="P29" s="16"/>
      <c r="Q29" s="14">
        <f t="shared" si="2"/>
        <v>3</v>
      </c>
      <c r="R29" s="14"/>
      <c r="S29" s="14"/>
      <c r="T29" s="13" t="str">
        <f t="shared" si="3"/>
        <v>On-Time</v>
      </c>
      <c r="U29" s="14"/>
      <c r="V29" s="13" t="str">
        <f t="shared" si="4"/>
        <v>Low Quantity</v>
      </c>
      <c r="W29" s="16"/>
    </row>
    <row r="30" spans="1:23">
      <c r="A30" s="5" t="s">
        <v>85</v>
      </c>
      <c r="B30" s="6">
        <v>45739</v>
      </c>
      <c r="C30" s="7" t="s">
        <v>54</v>
      </c>
      <c r="D30" s="7" t="s">
        <v>51</v>
      </c>
      <c r="E30" s="8">
        <v>3371</v>
      </c>
      <c r="F30" s="9">
        <v>4039.48</v>
      </c>
      <c r="G30" s="6">
        <v>45740</v>
      </c>
      <c r="H30" s="6">
        <v>45754</v>
      </c>
      <c r="I30" s="7" t="s">
        <v>30</v>
      </c>
      <c r="J30" s="7" t="s">
        <v>44</v>
      </c>
      <c r="K30" s="7" t="s">
        <v>21</v>
      </c>
      <c r="M30" s="13">
        <f t="shared" si="0"/>
        <v>14</v>
      </c>
      <c r="N30" s="14"/>
      <c r="O30" s="15">
        <f t="shared" si="1"/>
        <v>1.1983031741323</v>
      </c>
      <c r="P30" s="16"/>
      <c r="Q30" s="14">
        <f t="shared" si="2"/>
        <v>1</v>
      </c>
      <c r="R30" s="14"/>
      <c r="S30" s="14"/>
      <c r="T30" s="13" t="str">
        <f t="shared" si="3"/>
        <v>Delayed</v>
      </c>
      <c r="U30" s="14"/>
      <c r="V30" s="13" t="str">
        <f t="shared" si="4"/>
        <v>High Quantity</v>
      </c>
      <c r="W30" s="16"/>
    </row>
    <row r="31" spans="1:23">
      <c r="A31" s="5" t="s">
        <v>86</v>
      </c>
      <c r="B31" s="6">
        <v>45388</v>
      </c>
      <c r="C31" s="7" t="s">
        <v>87</v>
      </c>
      <c r="D31" s="7" t="s">
        <v>51</v>
      </c>
      <c r="E31" s="5">
        <v>206</v>
      </c>
      <c r="F31" s="9">
        <v>9813.28</v>
      </c>
      <c r="G31" s="6">
        <v>45389</v>
      </c>
      <c r="H31" s="6">
        <v>45423</v>
      </c>
      <c r="I31" s="7" t="s">
        <v>49</v>
      </c>
      <c r="J31" s="7" t="s">
        <v>20</v>
      </c>
      <c r="K31" s="7" t="s">
        <v>21</v>
      </c>
      <c r="M31" s="13">
        <f t="shared" si="0"/>
        <v>34</v>
      </c>
      <c r="N31" s="14"/>
      <c r="O31" s="15">
        <f t="shared" si="1"/>
        <v>47.6372815533981</v>
      </c>
      <c r="P31" s="16"/>
      <c r="Q31" s="14">
        <f t="shared" si="2"/>
        <v>1</v>
      </c>
      <c r="R31" s="14"/>
      <c r="S31" s="14"/>
      <c r="T31" s="13" t="str">
        <f t="shared" si="3"/>
        <v>Delayed</v>
      </c>
      <c r="U31" s="14"/>
      <c r="V31" s="13" t="str">
        <f t="shared" si="4"/>
        <v>Low Quantity</v>
      </c>
      <c r="W31" s="16"/>
    </row>
    <row r="32" spans="1:23">
      <c r="A32" s="5" t="s">
        <v>88</v>
      </c>
      <c r="B32" s="6">
        <v>45321</v>
      </c>
      <c r="C32" s="7" t="s">
        <v>68</v>
      </c>
      <c r="D32" s="7" t="s">
        <v>25</v>
      </c>
      <c r="E32" s="5">
        <v>138</v>
      </c>
      <c r="F32" s="9">
        <v>3730.6</v>
      </c>
      <c r="G32" s="6">
        <v>45323</v>
      </c>
      <c r="H32" s="6">
        <v>45327</v>
      </c>
      <c r="I32" s="7" t="s">
        <v>30</v>
      </c>
      <c r="J32" s="7" t="s">
        <v>59</v>
      </c>
      <c r="K32" s="7" t="s">
        <v>27</v>
      </c>
      <c r="M32" s="13">
        <f t="shared" si="0"/>
        <v>4</v>
      </c>
      <c r="N32" s="14"/>
      <c r="O32" s="15">
        <f t="shared" si="1"/>
        <v>27.0333333333333</v>
      </c>
      <c r="P32" s="16"/>
      <c r="Q32" s="14">
        <f t="shared" si="2"/>
        <v>2</v>
      </c>
      <c r="R32" s="14"/>
      <c r="S32" s="14"/>
      <c r="T32" s="13" t="str">
        <f t="shared" si="3"/>
        <v>On-Time</v>
      </c>
      <c r="U32" s="14"/>
      <c r="V32" s="13" t="str">
        <f t="shared" si="4"/>
        <v>Low Quantity</v>
      </c>
      <c r="W32" s="16"/>
    </row>
    <row r="33" spans="1:23">
      <c r="A33" s="5" t="s">
        <v>89</v>
      </c>
      <c r="B33" s="6">
        <v>45964</v>
      </c>
      <c r="C33" s="7" t="s">
        <v>38</v>
      </c>
      <c r="D33" s="7" t="s">
        <v>39</v>
      </c>
      <c r="E33" s="5">
        <v>934</v>
      </c>
      <c r="F33" s="9">
        <v>16520.34</v>
      </c>
      <c r="G33" s="6">
        <v>45965</v>
      </c>
      <c r="H33" s="6">
        <v>45973</v>
      </c>
      <c r="I33" s="7" t="s">
        <v>49</v>
      </c>
      <c r="J33" s="7" t="s">
        <v>26</v>
      </c>
      <c r="K33" s="7" t="s">
        <v>27</v>
      </c>
      <c r="M33" s="13">
        <f t="shared" si="0"/>
        <v>8</v>
      </c>
      <c r="N33" s="14"/>
      <c r="O33" s="15">
        <f t="shared" si="1"/>
        <v>17.6877301927195</v>
      </c>
      <c r="P33" s="16"/>
      <c r="Q33" s="14">
        <f t="shared" si="2"/>
        <v>1</v>
      </c>
      <c r="R33" s="14"/>
      <c r="S33" s="14"/>
      <c r="T33" s="13" t="str">
        <f t="shared" si="3"/>
        <v>On-Time</v>
      </c>
      <c r="U33" s="14"/>
      <c r="V33" s="13" t="str">
        <f t="shared" si="4"/>
        <v>Low Quantity</v>
      </c>
      <c r="W33" s="16"/>
    </row>
    <row r="34" spans="1:23">
      <c r="A34" s="5" t="s">
        <v>90</v>
      </c>
      <c r="B34" s="6">
        <v>45944</v>
      </c>
      <c r="C34" s="7" t="s">
        <v>29</v>
      </c>
      <c r="D34" s="7" t="s">
        <v>39</v>
      </c>
      <c r="E34" s="8">
        <v>4619</v>
      </c>
      <c r="F34" s="9">
        <v>18311.02</v>
      </c>
      <c r="G34" s="6">
        <v>45946</v>
      </c>
      <c r="H34" s="6">
        <v>45947</v>
      </c>
      <c r="I34" s="7" t="s">
        <v>35</v>
      </c>
      <c r="J34" s="7" t="s">
        <v>59</v>
      </c>
      <c r="K34" s="7" t="s">
        <v>27</v>
      </c>
      <c r="M34" s="13">
        <f t="shared" si="0"/>
        <v>1</v>
      </c>
      <c r="N34" s="14"/>
      <c r="O34" s="15">
        <f t="shared" si="1"/>
        <v>3.96428231218879</v>
      </c>
      <c r="P34" s="16"/>
      <c r="Q34" s="14">
        <f t="shared" si="2"/>
        <v>2</v>
      </c>
      <c r="R34" s="14"/>
      <c r="S34" s="14"/>
      <c r="T34" s="13" t="str">
        <f t="shared" si="3"/>
        <v>On-Time</v>
      </c>
      <c r="U34" s="14"/>
      <c r="V34" s="13" t="str">
        <f t="shared" si="4"/>
        <v>High Quantity</v>
      </c>
      <c r="W34" s="16"/>
    </row>
    <row r="35" spans="1:23">
      <c r="A35" s="5" t="s">
        <v>91</v>
      </c>
      <c r="B35" s="6">
        <v>46008</v>
      </c>
      <c r="C35" s="7" t="s">
        <v>92</v>
      </c>
      <c r="D35" s="7" t="s">
        <v>46</v>
      </c>
      <c r="E35" s="5">
        <v>623</v>
      </c>
      <c r="F35" s="9">
        <v>1113.01</v>
      </c>
      <c r="G35" s="6">
        <v>46010</v>
      </c>
      <c r="H35" s="6">
        <v>46018</v>
      </c>
      <c r="I35" s="7" t="s">
        <v>19</v>
      </c>
      <c r="J35" s="7" t="s">
        <v>26</v>
      </c>
      <c r="K35" s="7" t="s">
        <v>27</v>
      </c>
      <c r="M35" s="13">
        <f t="shared" si="0"/>
        <v>8</v>
      </c>
      <c r="N35" s="14"/>
      <c r="O35" s="15">
        <f t="shared" si="1"/>
        <v>1.78653290529695</v>
      </c>
      <c r="P35" s="16"/>
      <c r="Q35" s="14">
        <f t="shared" si="2"/>
        <v>2</v>
      </c>
      <c r="R35" s="14"/>
      <c r="S35" s="14"/>
      <c r="T35" s="13" t="str">
        <f t="shared" si="3"/>
        <v>On-Time</v>
      </c>
      <c r="U35" s="14"/>
      <c r="V35" s="13" t="str">
        <f t="shared" si="4"/>
        <v>Low Quantity</v>
      </c>
      <c r="W35" s="16"/>
    </row>
    <row r="36" spans="1:23">
      <c r="A36" s="5" t="s">
        <v>93</v>
      </c>
      <c r="B36" s="6">
        <v>45582</v>
      </c>
      <c r="C36" s="7" t="s">
        <v>94</v>
      </c>
      <c r="D36" s="7" t="s">
        <v>51</v>
      </c>
      <c r="E36" s="8">
        <v>4141</v>
      </c>
      <c r="F36" s="9">
        <v>11037.69</v>
      </c>
      <c r="G36" s="6">
        <v>45584</v>
      </c>
      <c r="H36" s="6">
        <v>45595</v>
      </c>
      <c r="I36" s="7" t="s">
        <v>49</v>
      </c>
      <c r="J36" s="7" t="s">
        <v>44</v>
      </c>
      <c r="K36" s="7" t="s">
        <v>27</v>
      </c>
      <c r="M36" s="13">
        <f t="shared" si="0"/>
        <v>11</v>
      </c>
      <c r="N36" s="14"/>
      <c r="O36" s="15">
        <f t="shared" si="1"/>
        <v>2.66546486355953</v>
      </c>
      <c r="P36" s="16"/>
      <c r="Q36" s="14">
        <f t="shared" si="2"/>
        <v>2</v>
      </c>
      <c r="R36" s="14"/>
      <c r="S36" s="14"/>
      <c r="T36" s="13" t="str">
        <f t="shared" si="3"/>
        <v>On-Time</v>
      </c>
      <c r="U36" s="14"/>
      <c r="V36" s="13" t="str">
        <f t="shared" si="4"/>
        <v>High Quantity</v>
      </c>
      <c r="W36" s="16"/>
    </row>
    <row r="37" spans="1:23">
      <c r="A37" s="5" t="s">
        <v>95</v>
      </c>
      <c r="B37" s="6">
        <v>45326</v>
      </c>
      <c r="C37" s="7" t="s">
        <v>79</v>
      </c>
      <c r="D37" s="7" t="s">
        <v>25</v>
      </c>
      <c r="E37" s="8">
        <v>1784</v>
      </c>
      <c r="F37" s="9">
        <v>149.59</v>
      </c>
      <c r="G37" s="6">
        <v>45328</v>
      </c>
      <c r="H37" s="6">
        <v>45338</v>
      </c>
      <c r="I37" s="7" t="s">
        <v>19</v>
      </c>
      <c r="J37" s="7" t="s">
        <v>44</v>
      </c>
      <c r="K37" s="7" t="s">
        <v>27</v>
      </c>
      <c r="M37" s="13">
        <f t="shared" si="0"/>
        <v>10</v>
      </c>
      <c r="N37" s="14"/>
      <c r="O37" s="15">
        <f t="shared" si="1"/>
        <v>0.0838508968609866</v>
      </c>
      <c r="P37" s="16"/>
      <c r="Q37" s="14">
        <f t="shared" si="2"/>
        <v>2</v>
      </c>
      <c r="R37" s="14"/>
      <c r="S37" s="14"/>
      <c r="T37" s="13" t="str">
        <f t="shared" si="3"/>
        <v>On-Time</v>
      </c>
      <c r="U37" s="14"/>
      <c r="V37" s="13" t="str">
        <f t="shared" si="4"/>
        <v>Low Quantity</v>
      </c>
      <c r="W37" s="16"/>
    </row>
    <row r="38" spans="1:23">
      <c r="A38" s="5" t="s">
        <v>96</v>
      </c>
      <c r="B38" s="6">
        <v>45745</v>
      </c>
      <c r="C38" s="7" t="s">
        <v>24</v>
      </c>
      <c r="D38" s="7" t="s">
        <v>34</v>
      </c>
      <c r="E38" s="5">
        <v>37</v>
      </c>
      <c r="F38" s="9">
        <v>41672.74</v>
      </c>
      <c r="G38" s="6">
        <v>45748</v>
      </c>
      <c r="H38" s="6">
        <v>45750</v>
      </c>
      <c r="I38" s="7" t="s">
        <v>49</v>
      </c>
      <c r="J38" s="7" t="s">
        <v>26</v>
      </c>
      <c r="K38" s="7" t="s">
        <v>27</v>
      </c>
      <c r="M38" s="13">
        <f t="shared" si="0"/>
        <v>2</v>
      </c>
      <c r="N38" s="14"/>
      <c r="O38" s="15">
        <f t="shared" si="1"/>
        <v>1126.29027027027</v>
      </c>
      <c r="P38" s="16"/>
      <c r="Q38" s="14">
        <f t="shared" si="2"/>
        <v>3</v>
      </c>
      <c r="R38" s="14"/>
      <c r="S38" s="14"/>
      <c r="T38" s="13" t="str">
        <f t="shared" si="3"/>
        <v>On-Time</v>
      </c>
      <c r="U38" s="14"/>
      <c r="V38" s="13" t="str">
        <f t="shared" si="4"/>
        <v>Low Quantity</v>
      </c>
      <c r="W38" s="16"/>
    </row>
    <row r="39" spans="1:23">
      <c r="A39" s="5" t="s">
        <v>97</v>
      </c>
      <c r="B39" s="6">
        <v>45681</v>
      </c>
      <c r="C39" s="7" t="s">
        <v>94</v>
      </c>
      <c r="D39" s="7" t="s">
        <v>39</v>
      </c>
      <c r="E39" s="8">
        <v>3663</v>
      </c>
      <c r="F39" s="9">
        <v>15574.38</v>
      </c>
      <c r="G39" s="6">
        <v>45684</v>
      </c>
      <c r="H39" s="6">
        <v>45687</v>
      </c>
      <c r="I39" s="7" t="s">
        <v>30</v>
      </c>
      <c r="J39" s="7" t="s">
        <v>26</v>
      </c>
      <c r="K39" s="7" t="s">
        <v>27</v>
      </c>
      <c r="M39" s="13">
        <f t="shared" si="0"/>
        <v>3</v>
      </c>
      <c r="N39" s="14"/>
      <c r="O39" s="15">
        <f t="shared" si="1"/>
        <v>4.25180999180999</v>
      </c>
      <c r="P39" s="16"/>
      <c r="Q39" s="14">
        <f t="shared" si="2"/>
        <v>3</v>
      </c>
      <c r="R39" s="14"/>
      <c r="S39" s="14"/>
      <c r="T39" s="13" t="str">
        <f t="shared" si="3"/>
        <v>On-Time</v>
      </c>
      <c r="U39" s="14"/>
      <c r="V39" s="13" t="str">
        <f t="shared" si="4"/>
        <v>High Quantity</v>
      </c>
      <c r="W39" s="16"/>
    </row>
    <row r="40" spans="1:23">
      <c r="A40" s="5" t="s">
        <v>98</v>
      </c>
      <c r="B40" s="6">
        <v>45467</v>
      </c>
      <c r="C40" s="7" t="s">
        <v>56</v>
      </c>
      <c r="D40" s="7" t="s">
        <v>46</v>
      </c>
      <c r="E40" s="5">
        <v>46</v>
      </c>
      <c r="F40" s="9">
        <v>3250.63</v>
      </c>
      <c r="G40" s="6">
        <v>45470</v>
      </c>
      <c r="H40" s="6">
        <v>45477</v>
      </c>
      <c r="I40" s="7" t="s">
        <v>19</v>
      </c>
      <c r="J40" s="7" t="s">
        <v>26</v>
      </c>
      <c r="K40" s="7" t="s">
        <v>27</v>
      </c>
      <c r="M40" s="13">
        <f t="shared" si="0"/>
        <v>7</v>
      </c>
      <c r="N40" s="14"/>
      <c r="O40" s="15">
        <f t="shared" si="1"/>
        <v>70.6658695652174</v>
      </c>
      <c r="P40" s="16"/>
      <c r="Q40" s="14">
        <f t="shared" si="2"/>
        <v>3</v>
      </c>
      <c r="R40" s="14"/>
      <c r="S40" s="14"/>
      <c r="T40" s="13" t="str">
        <f t="shared" si="3"/>
        <v>On-Time</v>
      </c>
      <c r="U40" s="14"/>
      <c r="V40" s="13" t="str">
        <f t="shared" si="4"/>
        <v>Low Quantity</v>
      </c>
      <c r="W40" s="16"/>
    </row>
    <row r="41" spans="1:23">
      <c r="A41" s="5" t="s">
        <v>99</v>
      </c>
      <c r="B41" s="6">
        <v>45323</v>
      </c>
      <c r="C41" s="7" t="s">
        <v>76</v>
      </c>
      <c r="D41" s="7" t="s">
        <v>100</v>
      </c>
      <c r="E41" s="5">
        <v>528</v>
      </c>
      <c r="F41" s="9">
        <v>3007.01</v>
      </c>
      <c r="G41" s="6">
        <v>45324</v>
      </c>
      <c r="H41" s="6">
        <v>45326</v>
      </c>
      <c r="I41" s="7" t="s">
        <v>35</v>
      </c>
      <c r="J41" s="7" t="s">
        <v>59</v>
      </c>
      <c r="K41" s="7" t="s">
        <v>27</v>
      </c>
      <c r="M41" s="13">
        <f t="shared" si="0"/>
        <v>2</v>
      </c>
      <c r="N41" s="14"/>
      <c r="O41" s="15">
        <f t="shared" si="1"/>
        <v>5.6950946969697</v>
      </c>
      <c r="P41" s="16"/>
      <c r="Q41" s="14">
        <f t="shared" si="2"/>
        <v>1</v>
      </c>
      <c r="R41" s="14"/>
      <c r="S41" s="14"/>
      <c r="T41" s="13" t="str">
        <f t="shared" si="3"/>
        <v>On-Time</v>
      </c>
      <c r="U41" s="14"/>
      <c r="V41" s="13" t="str">
        <f t="shared" si="4"/>
        <v>Low Quantity</v>
      </c>
      <c r="W41" s="16"/>
    </row>
    <row r="42" spans="1:23">
      <c r="A42" s="5" t="s">
        <v>101</v>
      </c>
      <c r="B42" s="6">
        <v>45671</v>
      </c>
      <c r="C42" s="7" t="s">
        <v>38</v>
      </c>
      <c r="D42" s="7" t="s">
        <v>77</v>
      </c>
      <c r="E42" s="8">
        <v>3013</v>
      </c>
      <c r="F42" s="9">
        <v>5848.09</v>
      </c>
      <c r="G42" s="6">
        <v>45672</v>
      </c>
      <c r="H42" s="6">
        <v>45679</v>
      </c>
      <c r="I42" s="7" t="s">
        <v>30</v>
      </c>
      <c r="J42" s="7" t="s">
        <v>26</v>
      </c>
      <c r="K42" s="7" t="s">
        <v>27</v>
      </c>
      <c r="M42" s="13">
        <f t="shared" si="0"/>
        <v>7</v>
      </c>
      <c r="N42" s="14"/>
      <c r="O42" s="15">
        <f t="shared" si="1"/>
        <v>1.94095253899768</v>
      </c>
      <c r="P42" s="16"/>
      <c r="Q42" s="14">
        <f t="shared" si="2"/>
        <v>1</v>
      </c>
      <c r="R42" s="14"/>
      <c r="S42" s="14"/>
      <c r="T42" s="13" t="str">
        <f t="shared" si="3"/>
        <v>On-Time</v>
      </c>
      <c r="U42" s="14"/>
      <c r="V42" s="13" t="str">
        <f t="shared" si="4"/>
        <v>High Quantity</v>
      </c>
      <c r="W42" s="16"/>
    </row>
    <row r="43" spans="1:23">
      <c r="A43" s="5" t="s">
        <v>102</v>
      </c>
      <c r="B43" s="6">
        <v>45411</v>
      </c>
      <c r="C43" s="7" t="s">
        <v>76</v>
      </c>
      <c r="D43" s="7" t="s">
        <v>18</v>
      </c>
      <c r="E43" s="8">
        <v>2537</v>
      </c>
      <c r="F43" s="9">
        <v>6328.52</v>
      </c>
      <c r="G43" s="6">
        <v>45413</v>
      </c>
      <c r="H43" s="6">
        <v>45418</v>
      </c>
      <c r="I43" s="7" t="s">
        <v>30</v>
      </c>
      <c r="J43" s="7" t="s">
        <v>26</v>
      </c>
      <c r="K43" s="7" t="s">
        <v>27</v>
      </c>
      <c r="M43" s="13">
        <f t="shared" si="0"/>
        <v>5</v>
      </c>
      <c r="N43" s="14"/>
      <c r="O43" s="15">
        <f t="shared" si="1"/>
        <v>2.49448955459204</v>
      </c>
      <c r="P43" s="16"/>
      <c r="Q43" s="14">
        <f t="shared" si="2"/>
        <v>2</v>
      </c>
      <c r="R43" s="14"/>
      <c r="S43" s="14"/>
      <c r="T43" s="13" t="str">
        <f t="shared" si="3"/>
        <v>On-Time</v>
      </c>
      <c r="U43" s="14"/>
      <c r="V43" s="13" t="str">
        <f t="shared" si="4"/>
        <v>Low Quantity</v>
      </c>
      <c r="W43" s="16"/>
    </row>
    <row r="44" spans="1:23">
      <c r="A44" s="5" t="s">
        <v>103</v>
      </c>
      <c r="B44" s="6">
        <v>45479</v>
      </c>
      <c r="C44" s="7" t="s">
        <v>87</v>
      </c>
      <c r="D44" s="7" t="s">
        <v>41</v>
      </c>
      <c r="E44" s="8">
        <v>2132</v>
      </c>
      <c r="F44" s="9">
        <v>22627.48</v>
      </c>
      <c r="G44" s="6">
        <v>45481</v>
      </c>
      <c r="H44" s="6">
        <v>45491</v>
      </c>
      <c r="I44" s="7" t="s">
        <v>19</v>
      </c>
      <c r="J44" s="7" t="s">
        <v>26</v>
      </c>
      <c r="K44" s="7" t="s">
        <v>21</v>
      </c>
      <c r="M44" s="13">
        <f t="shared" si="0"/>
        <v>10</v>
      </c>
      <c r="N44" s="14"/>
      <c r="O44" s="15">
        <f t="shared" si="1"/>
        <v>10.6132645403377</v>
      </c>
      <c r="P44" s="16"/>
      <c r="Q44" s="14">
        <f t="shared" si="2"/>
        <v>2</v>
      </c>
      <c r="R44" s="14"/>
      <c r="S44" s="14"/>
      <c r="T44" s="13" t="str">
        <f t="shared" si="3"/>
        <v>Delayed</v>
      </c>
      <c r="U44" s="14"/>
      <c r="V44" s="13" t="str">
        <f t="shared" si="4"/>
        <v>Low Quantity</v>
      </c>
      <c r="W44" s="16"/>
    </row>
    <row r="45" spans="1:23">
      <c r="A45" s="5" t="s">
        <v>104</v>
      </c>
      <c r="B45" s="6">
        <v>45326</v>
      </c>
      <c r="C45" s="7" t="s">
        <v>94</v>
      </c>
      <c r="D45" s="7" t="s">
        <v>34</v>
      </c>
      <c r="E45" s="8">
        <v>4707</v>
      </c>
      <c r="F45" s="9">
        <v>19745.5</v>
      </c>
      <c r="G45" s="6">
        <v>45328</v>
      </c>
      <c r="H45" s="6">
        <v>45341</v>
      </c>
      <c r="I45" s="7" t="s">
        <v>35</v>
      </c>
      <c r="J45" s="7" t="s">
        <v>44</v>
      </c>
      <c r="K45" s="7" t="s">
        <v>21</v>
      </c>
      <c r="M45" s="13">
        <f t="shared" si="0"/>
        <v>13</v>
      </c>
      <c r="N45" s="14"/>
      <c r="O45" s="15">
        <f t="shared" si="1"/>
        <v>4.19492245591672</v>
      </c>
      <c r="P45" s="16"/>
      <c r="Q45" s="14">
        <f t="shared" si="2"/>
        <v>2</v>
      </c>
      <c r="R45" s="14"/>
      <c r="S45" s="14"/>
      <c r="T45" s="13" t="str">
        <f t="shared" si="3"/>
        <v>Delayed</v>
      </c>
      <c r="U45" s="14"/>
      <c r="V45" s="13" t="str">
        <f t="shared" si="4"/>
        <v>High Quantity</v>
      </c>
      <c r="W45" s="16"/>
    </row>
    <row r="46" spans="1:23">
      <c r="A46" s="5" t="s">
        <v>105</v>
      </c>
      <c r="B46" s="6">
        <v>45551</v>
      </c>
      <c r="C46" s="7" t="s">
        <v>76</v>
      </c>
      <c r="D46" s="7" t="s">
        <v>81</v>
      </c>
      <c r="E46" s="8">
        <v>2852</v>
      </c>
      <c r="F46" s="9">
        <v>341.18</v>
      </c>
      <c r="G46" s="6">
        <v>45554</v>
      </c>
      <c r="H46" s="6">
        <v>45580</v>
      </c>
      <c r="I46" s="7" t="s">
        <v>30</v>
      </c>
      <c r="J46" s="7" t="s">
        <v>20</v>
      </c>
      <c r="K46" s="7" t="s">
        <v>27</v>
      </c>
      <c r="M46" s="13">
        <f t="shared" si="0"/>
        <v>26</v>
      </c>
      <c r="N46" s="14"/>
      <c r="O46" s="15">
        <f t="shared" si="1"/>
        <v>0.119628330995792</v>
      </c>
      <c r="P46" s="16"/>
      <c r="Q46" s="14">
        <f t="shared" si="2"/>
        <v>3</v>
      </c>
      <c r="R46" s="14"/>
      <c r="S46" s="14"/>
      <c r="T46" s="13" t="str">
        <f t="shared" si="3"/>
        <v>On-Time</v>
      </c>
      <c r="U46" s="14"/>
      <c r="V46" s="13" t="str">
        <f t="shared" si="4"/>
        <v>Low Quantity</v>
      </c>
      <c r="W46" s="16"/>
    </row>
    <row r="47" spans="1:23">
      <c r="A47" s="5" t="s">
        <v>106</v>
      </c>
      <c r="B47" s="6">
        <v>45937</v>
      </c>
      <c r="C47" s="7" t="s">
        <v>24</v>
      </c>
      <c r="D47" s="7" t="s">
        <v>34</v>
      </c>
      <c r="E47" s="5">
        <v>212</v>
      </c>
      <c r="F47" s="9">
        <v>13517.97</v>
      </c>
      <c r="G47" s="6">
        <v>45940</v>
      </c>
      <c r="H47" s="6">
        <v>45948</v>
      </c>
      <c r="I47" s="7" t="s">
        <v>19</v>
      </c>
      <c r="J47" s="7" t="s">
        <v>44</v>
      </c>
      <c r="K47" s="7" t="s">
        <v>27</v>
      </c>
      <c r="M47" s="13">
        <f t="shared" si="0"/>
        <v>8</v>
      </c>
      <c r="N47" s="14"/>
      <c r="O47" s="15">
        <f t="shared" si="1"/>
        <v>63.7640094339623</v>
      </c>
      <c r="P47" s="16"/>
      <c r="Q47" s="14">
        <f t="shared" si="2"/>
        <v>3</v>
      </c>
      <c r="R47" s="14"/>
      <c r="S47" s="14"/>
      <c r="T47" s="13" t="str">
        <f t="shared" si="3"/>
        <v>On-Time</v>
      </c>
      <c r="U47" s="14"/>
      <c r="V47" s="13" t="str">
        <f t="shared" si="4"/>
        <v>Low Quantity</v>
      </c>
      <c r="W47" s="16"/>
    </row>
    <row r="48" spans="1:23">
      <c r="A48" s="5" t="s">
        <v>107</v>
      </c>
      <c r="B48" s="6">
        <v>45402</v>
      </c>
      <c r="C48" s="7" t="s">
        <v>79</v>
      </c>
      <c r="D48" s="7" t="s">
        <v>18</v>
      </c>
      <c r="E48" s="8">
        <v>3503</v>
      </c>
      <c r="F48" s="9">
        <v>8414.1</v>
      </c>
      <c r="G48" s="6">
        <v>45404</v>
      </c>
      <c r="H48" s="6">
        <v>45410</v>
      </c>
      <c r="I48" s="7" t="s">
        <v>49</v>
      </c>
      <c r="J48" s="7" t="s">
        <v>26</v>
      </c>
      <c r="K48" s="7" t="s">
        <v>27</v>
      </c>
      <c r="M48" s="13">
        <f t="shared" si="0"/>
        <v>6</v>
      </c>
      <c r="N48" s="14"/>
      <c r="O48" s="15">
        <f t="shared" si="1"/>
        <v>2.40196974022267</v>
      </c>
      <c r="P48" s="16"/>
      <c r="Q48" s="14">
        <f t="shared" si="2"/>
        <v>2</v>
      </c>
      <c r="R48" s="14"/>
      <c r="S48" s="14"/>
      <c r="T48" s="13" t="str">
        <f t="shared" si="3"/>
        <v>On-Time</v>
      </c>
      <c r="U48" s="14"/>
      <c r="V48" s="13" t="str">
        <f t="shared" si="4"/>
        <v>High Quantity</v>
      </c>
      <c r="W48" s="16"/>
    </row>
    <row r="49" spans="1:23">
      <c r="A49" s="5" t="s">
        <v>108</v>
      </c>
      <c r="B49" s="6">
        <v>45889</v>
      </c>
      <c r="C49" s="7" t="s">
        <v>24</v>
      </c>
      <c r="D49" s="7" t="s">
        <v>51</v>
      </c>
      <c r="E49" s="8">
        <v>1479</v>
      </c>
      <c r="F49" s="9">
        <v>12030.4</v>
      </c>
      <c r="G49" s="6">
        <v>45892</v>
      </c>
      <c r="H49" s="6">
        <v>45903</v>
      </c>
      <c r="I49" s="7" t="s">
        <v>19</v>
      </c>
      <c r="J49" s="7" t="s">
        <v>44</v>
      </c>
      <c r="K49" s="7" t="s">
        <v>27</v>
      </c>
      <c r="M49" s="13">
        <f t="shared" si="0"/>
        <v>11</v>
      </c>
      <c r="N49" s="14"/>
      <c r="O49" s="15">
        <f t="shared" si="1"/>
        <v>8.1341446923597</v>
      </c>
      <c r="P49" s="16"/>
      <c r="Q49" s="14">
        <f t="shared" si="2"/>
        <v>3</v>
      </c>
      <c r="R49" s="14"/>
      <c r="S49" s="14"/>
      <c r="T49" s="13" t="str">
        <f t="shared" si="3"/>
        <v>On-Time</v>
      </c>
      <c r="U49" s="14"/>
      <c r="V49" s="13" t="str">
        <f t="shared" si="4"/>
        <v>Low Quantity</v>
      </c>
      <c r="W49" s="16"/>
    </row>
    <row r="50" spans="1:23">
      <c r="A50" s="5" t="s">
        <v>109</v>
      </c>
      <c r="B50" s="6">
        <v>45885</v>
      </c>
      <c r="C50" s="7" t="s">
        <v>94</v>
      </c>
      <c r="D50" s="7" t="s">
        <v>18</v>
      </c>
      <c r="E50" s="8">
        <v>4176</v>
      </c>
      <c r="F50" s="9">
        <v>3146.47</v>
      </c>
      <c r="G50" s="6">
        <v>45887</v>
      </c>
      <c r="H50" s="6">
        <v>45906</v>
      </c>
      <c r="I50" s="7" t="s">
        <v>19</v>
      </c>
      <c r="J50" s="7" t="s">
        <v>20</v>
      </c>
      <c r="K50" s="7" t="s">
        <v>27</v>
      </c>
      <c r="M50" s="13">
        <f t="shared" si="0"/>
        <v>19</v>
      </c>
      <c r="N50" s="14"/>
      <c r="O50" s="15">
        <f t="shared" si="1"/>
        <v>0.753465038314176</v>
      </c>
      <c r="P50" s="16"/>
      <c r="Q50" s="14">
        <f t="shared" si="2"/>
        <v>2</v>
      </c>
      <c r="R50" s="14"/>
      <c r="S50" s="14"/>
      <c r="T50" s="13" t="str">
        <f t="shared" si="3"/>
        <v>On-Time</v>
      </c>
      <c r="U50" s="14"/>
      <c r="V50" s="13" t="str">
        <f t="shared" si="4"/>
        <v>High Quantity</v>
      </c>
      <c r="W50" s="16"/>
    </row>
    <row r="51" spans="1:23">
      <c r="A51" s="5" t="s">
        <v>110</v>
      </c>
      <c r="B51" s="6">
        <v>45608</v>
      </c>
      <c r="C51" s="7" t="s">
        <v>24</v>
      </c>
      <c r="D51" s="7" t="s">
        <v>81</v>
      </c>
      <c r="E51" s="8">
        <v>3693</v>
      </c>
      <c r="F51" s="9">
        <v>1432.4</v>
      </c>
      <c r="G51" s="6">
        <v>45611</v>
      </c>
      <c r="H51" s="6">
        <v>45615</v>
      </c>
      <c r="I51" s="7" t="s">
        <v>19</v>
      </c>
      <c r="J51" s="7" t="s">
        <v>59</v>
      </c>
      <c r="K51" s="7" t="s">
        <v>27</v>
      </c>
      <c r="M51" s="13">
        <f t="shared" si="0"/>
        <v>4</v>
      </c>
      <c r="N51" s="14"/>
      <c r="O51" s="15">
        <f t="shared" si="1"/>
        <v>0.387868941240184</v>
      </c>
      <c r="P51" s="16"/>
      <c r="Q51" s="14">
        <f t="shared" si="2"/>
        <v>3</v>
      </c>
      <c r="R51" s="14"/>
      <c r="S51" s="14"/>
      <c r="T51" s="13" t="str">
        <f t="shared" si="3"/>
        <v>On-Time</v>
      </c>
      <c r="U51" s="14"/>
      <c r="V51" s="13" t="str">
        <f t="shared" si="4"/>
        <v>High Quantity</v>
      </c>
      <c r="W51" s="16"/>
    </row>
    <row r="52" spans="1:23">
      <c r="A52" s="5" t="s">
        <v>111</v>
      </c>
      <c r="B52" s="6">
        <v>45634</v>
      </c>
      <c r="C52" s="7" t="s">
        <v>17</v>
      </c>
      <c r="D52" s="7" t="s">
        <v>41</v>
      </c>
      <c r="E52" s="8">
        <v>4926</v>
      </c>
      <c r="F52" s="9">
        <v>7847.13</v>
      </c>
      <c r="G52" s="6">
        <v>45636</v>
      </c>
      <c r="H52" s="6">
        <v>45641</v>
      </c>
      <c r="I52" s="7" t="s">
        <v>30</v>
      </c>
      <c r="J52" s="7" t="s">
        <v>26</v>
      </c>
      <c r="K52" s="7" t="s">
        <v>27</v>
      </c>
      <c r="M52" s="13">
        <f t="shared" si="0"/>
        <v>5</v>
      </c>
      <c r="N52" s="14"/>
      <c r="O52" s="15">
        <f t="shared" si="1"/>
        <v>1.59300243605359</v>
      </c>
      <c r="P52" s="16"/>
      <c r="Q52" s="14">
        <f t="shared" si="2"/>
        <v>2</v>
      </c>
      <c r="R52" s="14"/>
      <c r="S52" s="14"/>
      <c r="T52" s="13" t="str">
        <f t="shared" si="3"/>
        <v>On-Time</v>
      </c>
      <c r="U52" s="14"/>
      <c r="V52" s="13" t="str">
        <f t="shared" si="4"/>
        <v>High Quantity</v>
      </c>
      <c r="W52" s="16"/>
    </row>
    <row r="53" spans="1:23">
      <c r="A53" s="5" t="s">
        <v>112</v>
      </c>
      <c r="B53" s="6">
        <v>45635</v>
      </c>
      <c r="C53" s="7" t="s">
        <v>33</v>
      </c>
      <c r="D53" s="7" t="s">
        <v>77</v>
      </c>
      <c r="E53" s="5">
        <v>238</v>
      </c>
      <c r="F53" s="9">
        <v>5436.14</v>
      </c>
      <c r="G53" s="6">
        <v>45637</v>
      </c>
      <c r="H53" s="6">
        <v>45643</v>
      </c>
      <c r="I53" s="7" t="s">
        <v>19</v>
      </c>
      <c r="J53" s="7" t="s">
        <v>44</v>
      </c>
      <c r="K53" s="7" t="s">
        <v>27</v>
      </c>
      <c r="M53" s="13">
        <f t="shared" si="0"/>
        <v>6</v>
      </c>
      <c r="N53" s="14"/>
      <c r="O53" s="15">
        <f t="shared" si="1"/>
        <v>22.8409243697479</v>
      </c>
      <c r="P53" s="16"/>
      <c r="Q53" s="14">
        <f t="shared" si="2"/>
        <v>2</v>
      </c>
      <c r="R53" s="14"/>
      <c r="S53" s="14"/>
      <c r="T53" s="13" t="str">
        <f t="shared" si="3"/>
        <v>On-Time</v>
      </c>
      <c r="U53" s="14"/>
      <c r="V53" s="13" t="str">
        <f t="shared" si="4"/>
        <v>Low Quantity</v>
      </c>
      <c r="W53" s="16"/>
    </row>
    <row r="54" spans="1:23">
      <c r="A54" s="5" t="s">
        <v>113</v>
      </c>
      <c r="B54" s="6">
        <v>45639</v>
      </c>
      <c r="C54" s="7" t="s">
        <v>33</v>
      </c>
      <c r="D54" s="7" t="s">
        <v>100</v>
      </c>
      <c r="E54" s="8">
        <v>1161</v>
      </c>
      <c r="F54" s="9">
        <v>1148.58</v>
      </c>
      <c r="G54" s="6">
        <v>45641</v>
      </c>
      <c r="H54" s="6">
        <v>45646</v>
      </c>
      <c r="I54" s="7" t="s">
        <v>49</v>
      </c>
      <c r="J54" s="7" t="s">
        <v>59</v>
      </c>
      <c r="K54" s="7" t="s">
        <v>27</v>
      </c>
      <c r="M54" s="13">
        <f t="shared" si="0"/>
        <v>5</v>
      </c>
      <c r="N54" s="14"/>
      <c r="O54" s="15">
        <f t="shared" si="1"/>
        <v>0.989302325581395</v>
      </c>
      <c r="P54" s="16"/>
      <c r="Q54" s="14">
        <f t="shared" si="2"/>
        <v>2</v>
      </c>
      <c r="R54" s="14"/>
      <c r="S54" s="14"/>
      <c r="T54" s="13" t="str">
        <f t="shared" si="3"/>
        <v>On-Time</v>
      </c>
      <c r="U54" s="14"/>
      <c r="V54" s="13" t="str">
        <f t="shared" si="4"/>
        <v>Low Quantity</v>
      </c>
      <c r="W54" s="16"/>
    </row>
    <row r="55" spans="1:23">
      <c r="A55" s="5" t="s">
        <v>114</v>
      </c>
      <c r="B55" s="6">
        <v>45424</v>
      </c>
      <c r="C55" s="7" t="s">
        <v>54</v>
      </c>
      <c r="D55" s="7" t="s">
        <v>34</v>
      </c>
      <c r="E55" s="8">
        <v>2241</v>
      </c>
      <c r="F55" s="9">
        <v>37060.46</v>
      </c>
      <c r="G55" s="6">
        <v>45427</v>
      </c>
      <c r="H55" s="6">
        <v>45431</v>
      </c>
      <c r="I55" s="7" t="s">
        <v>30</v>
      </c>
      <c r="J55" s="7" t="s">
        <v>59</v>
      </c>
      <c r="K55" s="7" t="s">
        <v>27</v>
      </c>
      <c r="M55" s="13">
        <f t="shared" si="0"/>
        <v>4</v>
      </c>
      <c r="N55" s="14"/>
      <c r="O55" s="15">
        <f t="shared" si="1"/>
        <v>16.5374654172245</v>
      </c>
      <c r="P55" s="16"/>
      <c r="Q55" s="14">
        <f t="shared" si="2"/>
        <v>3</v>
      </c>
      <c r="R55" s="14"/>
      <c r="S55" s="14"/>
      <c r="T55" s="13" t="str">
        <f t="shared" si="3"/>
        <v>On-Time</v>
      </c>
      <c r="U55" s="14"/>
      <c r="V55" s="13" t="str">
        <f t="shared" si="4"/>
        <v>Low Quantity</v>
      </c>
      <c r="W55" s="16"/>
    </row>
    <row r="56" spans="1:23">
      <c r="A56" s="5" t="s">
        <v>115</v>
      </c>
      <c r="B56" s="6">
        <v>45745</v>
      </c>
      <c r="C56" s="7" t="s">
        <v>29</v>
      </c>
      <c r="D56" s="7" t="s">
        <v>34</v>
      </c>
      <c r="E56" s="8">
        <v>4115</v>
      </c>
      <c r="F56" s="9">
        <v>33935.94</v>
      </c>
      <c r="G56" s="6">
        <v>45746</v>
      </c>
      <c r="H56" s="6">
        <v>45751</v>
      </c>
      <c r="I56" s="7" t="s">
        <v>35</v>
      </c>
      <c r="J56" s="7" t="s">
        <v>26</v>
      </c>
      <c r="K56" s="7" t="s">
        <v>27</v>
      </c>
      <c r="M56" s="13">
        <f t="shared" si="0"/>
        <v>5</v>
      </c>
      <c r="N56" s="14"/>
      <c r="O56" s="15">
        <f t="shared" si="1"/>
        <v>8.24688699878493</v>
      </c>
      <c r="P56" s="16"/>
      <c r="Q56" s="14">
        <f t="shared" si="2"/>
        <v>1</v>
      </c>
      <c r="R56" s="14"/>
      <c r="S56" s="14"/>
      <c r="T56" s="13" t="str">
        <f t="shared" si="3"/>
        <v>On-Time</v>
      </c>
      <c r="U56" s="14"/>
      <c r="V56" s="13" t="str">
        <f t="shared" si="4"/>
        <v>High Quantity</v>
      </c>
      <c r="W56" s="16"/>
    </row>
    <row r="57" spans="1:23">
      <c r="A57" s="5" t="s">
        <v>116</v>
      </c>
      <c r="B57" s="6">
        <v>45742</v>
      </c>
      <c r="C57" s="7" t="s">
        <v>87</v>
      </c>
      <c r="D57" s="7" t="s">
        <v>51</v>
      </c>
      <c r="E57" s="8">
        <v>4163</v>
      </c>
      <c r="F57" s="9">
        <v>11180.7</v>
      </c>
      <c r="G57" s="6">
        <v>45745</v>
      </c>
      <c r="H57" s="6">
        <v>45753</v>
      </c>
      <c r="I57" s="7" t="s">
        <v>35</v>
      </c>
      <c r="J57" s="7" t="s">
        <v>26</v>
      </c>
      <c r="K57" s="7" t="s">
        <v>27</v>
      </c>
      <c r="M57" s="13">
        <f t="shared" si="0"/>
        <v>8</v>
      </c>
      <c r="N57" s="14"/>
      <c r="O57" s="15">
        <f t="shared" si="1"/>
        <v>2.68573144367043</v>
      </c>
      <c r="P57" s="16"/>
      <c r="Q57" s="14">
        <f t="shared" si="2"/>
        <v>3</v>
      </c>
      <c r="R57" s="14"/>
      <c r="S57" s="14"/>
      <c r="T57" s="13" t="str">
        <f t="shared" si="3"/>
        <v>On-Time</v>
      </c>
      <c r="U57" s="14"/>
      <c r="V57" s="13" t="str">
        <f t="shared" si="4"/>
        <v>High Quantity</v>
      </c>
      <c r="W57" s="16"/>
    </row>
    <row r="58" spans="1:23">
      <c r="A58" s="5" t="s">
        <v>117</v>
      </c>
      <c r="B58" s="6">
        <v>45795</v>
      </c>
      <c r="C58" s="7" t="s">
        <v>38</v>
      </c>
      <c r="D58" s="7" t="s">
        <v>39</v>
      </c>
      <c r="E58" s="8">
        <v>1781</v>
      </c>
      <c r="F58" s="9">
        <v>10023.08</v>
      </c>
      <c r="G58" s="6">
        <v>45797</v>
      </c>
      <c r="H58" s="6">
        <v>45807</v>
      </c>
      <c r="I58" s="7" t="s">
        <v>19</v>
      </c>
      <c r="J58" s="7" t="s">
        <v>26</v>
      </c>
      <c r="K58" s="7" t="s">
        <v>21</v>
      </c>
      <c r="M58" s="13">
        <f t="shared" si="0"/>
        <v>10</v>
      </c>
      <c r="N58" s="14"/>
      <c r="O58" s="15">
        <f t="shared" si="1"/>
        <v>5.62778214486244</v>
      </c>
      <c r="P58" s="16"/>
      <c r="Q58" s="14">
        <f t="shared" si="2"/>
        <v>2</v>
      </c>
      <c r="R58" s="14"/>
      <c r="S58" s="14"/>
      <c r="T58" s="13" t="str">
        <f t="shared" si="3"/>
        <v>Delayed</v>
      </c>
      <c r="U58" s="14"/>
      <c r="V58" s="13" t="str">
        <f t="shared" si="4"/>
        <v>Low Quantity</v>
      </c>
      <c r="W58" s="16"/>
    </row>
    <row r="59" spans="1:23">
      <c r="A59" s="5" t="s">
        <v>118</v>
      </c>
      <c r="B59" s="6">
        <v>45542</v>
      </c>
      <c r="C59" s="7" t="s">
        <v>87</v>
      </c>
      <c r="D59" s="7" t="s">
        <v>100</v>
      </c>
      <c r="E59" s="8">
        <v>1976</v>
      </c>
      <c r="F59" s="9">
        <v>1811.48</v>
      </c>
      <c r="G59" s="6">
        <v>45545</v>
      </c>
      <c r="H59" s="6">
        <v>45547</v>
      </c>
      <c r="I59" s="7" t="s">
        <v>19</v>
      </c>
      <c r="J59" s="7" t="s">
        <v>59</v>
      </c>
      <c r="K59" s="7" t="s">
        <v>27</v>
      </c>
      <c r="M59" s="13">
        <f t="shared" si="0"/>
        <v>2</v>
      </c>
      <c r="N59" s="14"/>
      <c r="O59" s="15">
        <f t="shared" si="1"/>
        <v>0.916740890688259</v>
      </c>
      <c r="P59" s="16"/>
      <c r="Q59" s="14">
        <f t="shared" si="2"/>
        <v>3</v>
      </c>
      <c r="R59" s="14"/>
      <c r="S59" s="14"/>
      <c r="T59" s="13" t="str">
        <f t="shared" si="3"/>
        <v>On-Time</v>
      </c>
      <c r="U59" s="14"/>
      <c r="V59" s="13" t="str">
        <f t="shared" si="4"/>
        <v>Low Quantity</v>
      </c>
      <c r="W59" s="16"/>
    </row>
    <row r="60" spans="1:23">
      <c r="A60" s="5" t="s">
        <v>119</v>
      </c>
      <c r="B60" s="6">
        <v>45668</v>
      </c>
      <c r="C60" s="7" t="s">
        <v>65</v>
      </c>
      <c r="D60" s="7" t="s">
        <v>51</v>
      </c>
      <c r="E60" s="8">
        <v>1382</v>
      </c>
      <c r="F60" s="9">
        <v>8671.11</v>
      </c>
      <c r="G60" s="6">
        <v>45669</v>
      </c>
      <c r="H60" s="6">
        <v>45670</v>
      </c>
      <c r="I60" s="7" t="s">
        <v>19</v>
      </c>
      <c r="J60" s="7" t="s">
        <v>59</v>
      </c>
      <c r="K60" s="7" t="s">
        <v>27</v>
      </c>
      <c r="M60" s="13">
        <f t="shared" si="0"/>
        <v>1</v>
      </c>
      <c r="N60" s="14"/>
      <c r="O60" s="15">
        <f t="shared" si="1"/>
        <v>6.27431982633864</v>
      </c>
      <c r="P60" s="16"/>
      <c r="Q60" s="14">
        <f t="shared" si="2"/>
        <v>1</v>
      </c>
      <c r="R60" s="14"/>
      <c r="S60" s="14"/>
      <c r="T60" s="13" t="str">
        <f t="shared" si="3"/>
        <v>On-Time</v>
      </c>
      <c r="U60" s="14"/>
      <c r="V60" s="13" t="str">
        <f t="shared" si="4"/>
        <v>Low Quantity</v>
      </c>
      <c r="W60" s="16"/>
    </row>
    <row r="61" spans="1:23">
      <c r="A61" s="5" t="s">
        <v>120</v>
      </c>
      <c r="B61" s="6">
        <v>45667</v>
      </c>
      <c r="C61" s="7" t="s">
        <v>54</v>
      </c>
      <c r="D61" s="7" t="s">
        <v>46</v>
      </c>
      <c r="E61" s="8">
        <v>1218</v>
      </c>
      <c r="F61" s="9">
        <v>5840.08</v>
      </c>
      <c r="G61" s="6">
        <v>45670</v>
      </c>
      <c r="H61" s="6">
        <v>45675</v>
      </c>
      <c r="I61" s="7" t="s">
        <v>49</v>
      </c>
      <c r="J61" s="7" t="s">
        <v>59</v>
      </c>
      <c r="K61" s="7" t="s">
        <v>27</v>
      </c>
      <c r="M61" s="13">
        <f t="shared" si="0"/>
        <v>5</v>
      </c>
      <c r="N61" s="14"/>
      <c r="O61" s="15">
        <f t="shared" si="1"/>
        <v>4.79481116584565</v>
      </c>
      <c r="P61" s="16"/>
      <c r="Q61" s="14">
        <f t="shared" si="2"/>
        <v>3</v>
      </c>
      <c r="R61" s="14"/>
      <c r="S61" s="14"/>
      <c r="T61" s="13" t="str">
        <f t="shared" si="3"/>
        <v>On-Time</v>
      </c>
      <c r="U61" s="14"/>
      <c r="V61" s="13" t="str">
        <f t="shared" si="4"/>
        <v>Low Quantity</v>
      </c>
      <c r="W61" s="16"/>
    </row>
    <row r="62" spans="1:23">
      <c r="A62" s="5" t="s">
        <v>121</v>
      </c>
      <c r="B62" s="6">
        <v>45520</v>
      </c>
      <c r="C62" s="7" t="s">
        <v>56</v>
      </c>
      <c r="D62" s="7" t="s">
        <v>77</v>
      </c>
      <c r="E62" s="8">
        <v>3878</v>
      </c>
      <c r="F62" s="9">
        <v>1635.73</v>
      </c>
      <c r="G62" s="6">
        <v>45521</v>
      </c>
      <c r="H62" s="6">
        <v>45528</v>
      </c>
      <c r="I62" s="7" t="s">
        <v>49</v>
      </c>
      <c r="J62" s="7" t="s">
        <v>26</v>
      </c>
      <c r="K62" s="7" t="s">
        <v>27</v>
      </c>
      <c r="M62" s="13">
        <f t="shared" si="0"/>
        <v>7</v>
      </c>
      <c r="N62" s="14"/>
      <c r="O62" s="15">
        <f t="shared" si="1"/>
        <v>0.42179731820526</v>
      </c>
      <c r="P62" s="16"/>
      <c r="Q62" s="14">
        <f t="shared" si="2"/>
        <v>1</v>
      </c>
      <c r="R62" s="14"/>
      <c r="S62" s="14"/>
      <c r="T62" s="13" t="str">
        <f t="shared" si="3"/>
        <v>On-Time</v>
      </c>
      <c r="U62" s="14"/>
      <c r="V62" s="13" t="str">
        <f t="shared" si="4"/>
        <v>High Quantity</v>
      </c>
      <c r="W62" s="16"/>
    </row>
    <row r="63" spans="1:23">
      <c r="A63" s="5" t="s">
        <v>122</v>
      </c>
      <c r="B63" s="6">
        <v>45432</v>
      </c>
      <c r="C63" s="7" t="s">
        <v>58</v>
      </c>
      <c r="D63" s="7" t="s">
        <v>41</v>
      </c>
      <c r="E63" s="5">
        <v>909</v>
      </c>
      <c r="F63" s="9">
        <v>5502.18</v>
      </c>
      <c r="G63" s="6">
        <v>45434</v>
      </c>
      <c r="H63" s="6">
        <v>45452</v>
      </c>
      <c r="I63" s="7" t="s">
        <v>30</v>
      </c>
      <c r="J63" s="7" t="s">
        <v>20</v>
      </c>
      <c r="K63" s="7" t="s">
        <v>27</v>
      </c>
      <c r="M63" s="13">
        <f t="shared" si="0"/>
        <v>18</v>
      </c>
      <c r="N63" s="14"/>
      <c r="O63" s="15">
        <f t="shared" si="1"/>
        <v>6.05300330033003</v>
      </c>
      <c r="P63" s="16"/>
      <c r="Q63" s="14">
        <f t="shared" si="2"/>
        <v>2</v>
      </c>
      <c r="R63" s="14"/>
      <c r="S63" s="14"/>
      <c r="T63" s="13" t="str">
        <f t="shared" si="3"/>
        <v>On-Time</v>
      </c>
      <c r="U63" s="14"/>
      <c r="V63" s="13" t="str">
        <f t="shared" si="4"/>
        <v>Low Quantity</v>
      </c>
      <c r="W63" s="16"/>
    </row>
    <row r="64" spans="1:23">
      <c r="A64" s="5" t="s">
        <v>123</v>
      </c>
      <c r="B64" s="6">
        <v>45612</v>
      </c>
      <c r="C64" s="7" t="s">
        <v>76</v>
      </c>
      <c r="D64" s="7" t="s">
        <v>46</v>
      </c>
      <c r="E64" s="8">
        <v>3941</v>
      </c>
      <c r="F64" s="9">
        <v>793.63</v>
      </c>
      <c r="G64" s="6">
        <v>45614</v>
      </c>
      <c r="H64" s="6">
        <v>45620</v>
      </c>
      <c r="I64" s="7" t="s">
        <v>19</v>
      </c>
      <c r="J64" s="7" t="s">
        <v>26</v>
      </c>
      <c r="K64" s="7" t="s">
        <v>27</v>
      </c>
      <c r="M64" s="13">
        <f t="shared" si="0"/>
        <v>6</v>
      </c>
      <c r="N64" s="14"/>
      <c r="O64" s="15">
        <f t="shared" si="1"/>
        <v>0.201377822887592</v>
      </c>
      <c r="P64" s="16"/>
      <c r="Q64" s="14">
        <f t="shared" si="2"/>
        <v>2</v>
      </c>
      <c r="R64" s="14"/>
      <c r="S64" s="14"/>
      <c r="T64" s="13" t="str">
        <f t="shared" si="3"/>
        <v>On-Time</v>
      </c>
      <c r="U64" s="14"/>
      <c r="V64" s="13" t="str">
        <f t="shared" si="4"/>
        <v>High Quantity</v>
      </c>
      <c r="W64" s="16"/>
    </row>
    <row r="65" spans="1:23">
      <c r="A65" s="5" t="s">
        <v>124</v>
      </c>
      <c r="B65" s="6">
        <v>45299</v>
      </c>
      <c r="C65" s="7" t="s">
        <v>94</v>
      </c>
      <c r="D65" s="7" t="s">
        <v>77</v>
      </c>
      <c r="E65" s="8">
        <v>1526</v>
      </c>
      <c r="F65" s="9">
        <v>4663.4</v>
      </c>
      <c r="G65" s="6">
        <v>45300</v>
      </c>
      <c r="H65" s="6">
        <v>45302</v>
      </c>
      <c r="I65" s="7" t="s">
        <v>49</v>
      </c>
      <c r="J65" s="7" t="s">
        <v>26</v>
      </c>
      <c r="K65" s="7" t="s">
        <v>27</v>
      </c>
      <c r="M65" s="13">
        <f t="shared" si="0"/>
        <v>2</v>
      </c>
      <c r="N65" s="14"/>
      <c r="O65" s="15">
        <f t="shared" si="1"/>
        <v>3.05596330275229</v>
      </c>
      <c r="P65" s="16"/>
      <c r="Q65" s="14">
        <f t="shared" si="2"/>
        <v>1</v>
      </c>
      <c r="R65" s="14"/>
      <c r="S65" s="14"/>
      <c r="T65" s="13" t="str">
        <f t="shared" si="3"/>
        <v>On-Time</v>
      </c>
      <c r="U65" s="14"/>
      <c r="V65" s="13" t="str">
        <f t="shared" si="4"/>
        <v>Low Quantity</v>
      </c>
      <c r="W65" s="16"/>
    </row>
    <row r="66" spans="1:23">
      <c r="A66" s="5" t="s">
        <v>125</v>
      </c>
      <c r="B66" s="6">
        <v>45751</v>
      </c>
      <c r="C66" s="7" t="s">
        <v>65</v>
      </c>
      <c r="D66" s="7" t="s">
        <v>41</v>
      </c>
      <c r="E66" s="5">
        <v>826</v>
      </c>
      <c r="F66" s="9">
        <v>1483.71</v>
      </c>
      <c r="G66" s="6">
        <v>45754</v>
      </c>
      <c r="H66" s="6">
        <v>45768</v>
      </c>
      <c r="I66" s="7" t="s">
        <v>35</v>
      </c>
      <c r="J66" s="7" t="s">
        <v>44</v>
      </c>
      <c r="K66" s="7" t="s">
        <v>21</v>
      </c>
      <c r="M66" s="13">
        <f t="shared" si="0"/>
        <v>14</v>
      </c>
      <c r="N66" s="14"/>
      <c r="O66" s="15">
        <f t="shared" si="1"/>
        <v>1.79625907990315</v>
      </c>
      <c r="P66" s="16"/>
      <c r="Q66" s="14">
        <f t="shared" si="2"/>
        <v>3</v>
      </c>
      <c r="R66" s="14"/>
      <c r="S66" s="14"/>
      <c r="T66" s="13" t="str">
        <f t="shared" si="3"/>
        <v>Delayed</v>
      </c>
      <c r="U66" s="14"/>
      <c r="V66" s="13" t="str">
        <f t="shared" si="4"/>
        <v>Low Quantity</v>
      </c>
      <c r="W66" s="16"/>
    </row>
    <row r="67" spans="1:23">
      <c r="A67" s="5" t="s">
        <v>126</v>
      </c>
      <c r="B67" s="6">
        <v>45446</v>
      </c>
      <c r="C67" s="7" t="s">
        <v>58</v>
      </c>
      <c r="D67" s="7" t="s">
        <v>39</v>
      </c>
      <c r="E67" s="8">
        <v>4297</v>
      </c>
      <c r="F67" s="9">
        <v>18194.91</v>
      </c>
      <c r="G67" s="6">
        <v>45448</v>
      </c>
      <c r="H67" s="6">
        <v>45454</v>
      </c>
      <c r="I67" s="7" t="s">
        <v>30</v>
      </c>
      <c r="J67" s="7" t="s">
        <v>26</v>
      </c>
      <c r="K67" s="7" t="s">
        <v>27</v>
      </c>
      <c r="M67" s="13">
        <f t="shared" ref="M67:M130" si="5">H67-G67</f>
        <v>6</v>
      </c>
      <c r="N67" s="14"/>
      <c r="O67" s="15">
        <f t="shared" ref="O67:O130" si="6">F67/E67</f>
        <v>4.23432860134978</v>
      </c>
      <c r="P67" s="16"/>
      <c r="Q67" s="14">
        <f t="shared" ref="Q67:Q130" si="7">G67-B67</f>
        <v>2</v>
      </c>
      <c r="R67" s="14"/>
      <c r="S67" s="14"/>
      <c r="T67" s="13" t="str">
        <f t="shared" ref="T67:T130" si="8">IF(K67="Yes","On-Time","Delayed")</f>
        <v>On-Time</v>
      </c>
      <c r="U67" s="14"/>
      <c r="V67" s="13" t="str">
        <f t="shared" ref="V67:V130" si="9">IF(E67&gt;=3000,"High Quantity","Low Quantity")</f>
        <v>High Quantity</v>
      </c>
      <c r="W67" s="16"/>
    </row>
    <row r="68" spans="1:23">
      <c r="A68" s="5" t="s">
        <v>127</v>
      </c>
      <c r="B68" s="6">
        <v>45336</v>
      </c>
      <c r="C68" s="7" t="s">
        <v>33</v>
      </c>
      <c r="D68" s="7" t="s">
        <v>34</v>
      </c>
      <c r="E68" s="8">
        <v>2445</v>
      </c>
      <c r="F68" s="9">
        <v>7860.4</v>
      </c>
      <c r="G68" s="6">
        <v>45339</v>
      </c>
      <c r="H68" s="6">
        <v>45349</v>
      </c>
      <c r="I68" s="7" t="s">
        <v>30</v>
      </c>
      <c r="J68" s="7" t="s">
        <v>26</v>
      </c>
      <c r="K68" s="7" t="s">
        <v>21</v>
      </c>
      <c r="M68" s="13">
        <f t="shared" si="5"/>
        <v>10</v>
      </c>
      <c r="N68" s="14"/>
      <c r="O68" s="15">
        <f t="shared" si="6"/>
        <v>3.21488752556237</v>
      </c>
      <c r="P68" s="16"/>
      <c r="Q68" s="14">
        <f t="shared" si="7"/>
        <v>3</v>
      </c>
      <c r="R68" s="14"/>
      <c r="S68" s="14"/>
      <c r="T68" s="13" t="str">
        <f t="shared" si="8"/>
        <v>Delayed</v>
      </c>
      <c r="U68" s="14"/>
      <c r="V68" s="13" t="str">
        <f t="shared" si="9"/>
        <v>Low Quantity</v>
      </c>
      <c r="W68" s="16"/>
    </row>
    <row r="69" spans="1:23">
      <c r="A69" s="5" t="s">
        <v>128</v>
      </c>
      <c r="B69" s="6">
        <v>45580</v>
      </c>
      <c r="C69" s="7" t="s">
        <v>17</v>
      </c>
      <c r="D69" s="7" t="s">
        <v>81</v>
      </c>
      <c r="E69" s="8">
        <v>4519</v>
      </c>
      <c r="F69" s="9">
        <v>1506.32</v>
      </c>
      <c r="G69" s="6">
        <v>45581</v>
      </c>
      <c r="H69" s="6">
        <v>45613</v>
      </c>
      <c r="I69" s="7" t="s">
        <v>35</v>
      </c>
      <c r="J69" s="7" t="s">
        <v>20</v>
      </c>
      <c r="K69" s="7" t="s">
        <v>21</v>
      </c>
      <c r="M69" s="13">
        <f t="shared" si="5"/>
        <v>32</v>
      </c>
      <c r="N69" s="14"/>
      <c r="O69" s="15">
        <f t="shared" si="6"/>
        <v>0.333330382828059</v>
      </c>
      <c r="P69" s="16"/>
      <c r="Q69" s="14">
        <f t="shared" si="7"/>
        <v>1</v>
      </c>
      <c r="R69" s="14"/>
      <c r="S69" s="14"/>
      <c r="T69" s="13" t="str">
        <f t="shared" si="8"/>
        <v>Delayed</v>
      </c>
      <c r="U69" s="14"/>
      <c r="V69" s="13" t="str">
        <f t="shared" si="9"/>
        <v>High Quantity</v>
      </c>
      <c r="W69" s="16"/>
    </row>
    <row r="70" spans="1:23">
      <c r="A70" s="5" t="s">
        <v>129</v>
      </c>
      <c r="B70" s="6">
        <v>45967</v>
      </c>
      <c r="C70" s="7" t="s">
        <v>58</v>
      </c>
      <c r="D70" s="7" t="s">
        <v>77</v>
      </c>
      <c r="E70" s="5">
        <v>927</v>
      </c>
      <c r="F70" s="9">
        <v>6146.22</v>
      </c>
      <c r="G70" s="6">
        <v>45970</v>
      </c>
      <c r="H70" s="6">
        <v>45977</v>
      </c>
      <c r="I70" s="7" t="s">
        <v>35</v>
      </c>
      <c r="J70" s="7" t="s">
        <v>26</v>
      </c>
      <c r="K70" s="7" t="s">
        <v>27</v>
      </c>
      <c r="M70" s="13">
        <f t="shared" si="5"/>
        <v>7</v>
      </c>
      <c r="N70" s="14"/>
      <c r="O70" s="15">
        <f t="shared" si="6"/>
        <v>6.63022653721683</v>
      </c>
      <c r="P70" s="16"/>
      <c r="Q70" s="14">
        <f t="shared" si="7"/>
        <v>3</v>
      </c>
      <c r="R70" s="14"/>
      <c r="S70" s="14"/>
      <c r="T70" s="13" t="str">
        <f t="shared" si="8"/>
        <v>On-Time</v>
      </c>
      <c r="U70" s="14"/>
      <c r="V70" s="13" t="str">
        <f t="shared" si="9"/>
        <v>Low Quantity</v>
      </c>
      <c r="W70" s="16"/>
    </row>
    <row r="71" spans="1:23">
      <c r="A71" s="5" t="s">
        <v>130</v>
      </c>
      <c r="B71" s="6">
        <v>45589</v>
      </c>
      <c r="C71" s="7" t="s">
        <v>56</v>
      </c>
      <c r="D71" s="7" t="s">
        <v>100</v>
      </c>
      <c r="E71" s="8">
        <v>1789</v>
      </c>
      <c r="F71" s="9">
        <v>4653.24</v>
      </c>
      <c r="G71" s="6">
        <v>45592</v>
      </c>
      <c r="H71" s="6">
        <v>45625</v>
      </c>
      <c r="I71" s="7" t="s">
        <v>30</v>
      </c>
      <c r="J71" s="7" t="s">
        <v>20</v>
      </c>
      <c r="K71" s="7" t="s">
        <v>21</v>
      </c>
      <c r="M71" s="13">
        <f t="shared" si="5"/>
        <v>33</v>
      </c>
      <c r="N71" s="14"/>
      <c r="O71" s="15">
        <f t="shared" si="6"/>
        <v>2.60102850754611</v>
      </c>
      <c r="P71" s="16"/>
      <c r="Q71" s="14">
        <f t="shared" si="7"/>
        <v>3</v>
      </c>
      <c r="R71" s="14"/>
      <c r="S71" s="14"/>
      <c r="T71" s="13" t="str">
        <f t="shared" si="8"/>
        <v>Delayed</v>
      </c>
      <c r="U71" s="14"/>
      <c r="V71" s="13" t="str">
        <f t="shared" si="9"/>
        <v>Low Quantity</v>
      </c>
      <c r="W71" s="16"/>
    </row>
    <row r="72" spans="1:23">
      <c r="A72" s="5" t="s">
        <v>131</v>
      </c>
      <c r="B72" s="6">
        <v>45816</v>
      </c>
      <c r="C72" s="7" t="s">
        <v>38</v>
      </c>
      <c r="D72" s="7" t="s">
        <v>34</v>
      </c>
      <c r="E72" s="8">
        <v>4345</v>
      </c>
      <c r="F72" s="9">
        <v>31566.82</v>
      </c>
      <c r="G72" s="6">
        <v>45818</v>
      </c>
      <c r="H72" s="6">
        <v>45825</v>
      </c>
      <c r="I72" s="7" t="s">
        <v>30</v>
      </c>
      <c r="J72" s="7" t="s">
        <v>26</v>
      </c>
      <c r="K72" s="7" t="s">
        <v>27</v>
      </c>
      <c r="M72" s="13">
        <f t="shared" si="5"/>
        <v>7</v>
      </c>
      <c r="N72" s="14"/>
      <c r="O72" s="15">
        <f t="shared" si="6"/>
        <v>7.26509090909091</v>
      </c>
      <c r="P72" s="16"/>
      <c r="Q72" s="14">
        <f t="shared" si="7"/>
        <v>2</v>
      </c>
      <c r="R72" s="14"/>
      <c r="S72" s="14"/>
      <c r="T72" s="13" t="str">
        <f t="shared" si="8"/>
        <v>On-Time</v>
      </c>
      <c r="U72" s="14"/>
      <c r="V72" s="13" t="str">
        <f t="shared" si="9"/>
        <v>High Quantity</v>
      </c>
      <c r="W72" s="16"/>
    </row>
    <row r="73" spans="1:23">
      <c r="A73" s="5" t="s">
        <v>132</v>
      </c>
      <c r="B73" s="6">
        <v>45641</v>
      </c>
      <c r="C73" s="7" t="s">
        <v>54</v>
      </c>
      <c r="D73" s="7" t="s">
        <v>51</v>
      </c>
      <c r="E73" s="5">
        <v>139</v>
      </c>
      <c r="F73" s="9">
        <v>4734.22</v>
      </c>
      <c r="G73" s="6">
        <v>45644</v>
      </c>
      <c r="H73" s="6">
        <v>45647</v>
      </c>
      <c r="I73" s="7" t="s">
        <v>30</v>
      </c>
      <c r="J73" s="7" t="s">
        <v>26</v>
      </c>
      <c r="K73" s="7" t="s">
        <v>27</v>
      </c>
      <c r="M73" s="13">
        <f t="shared" si="5"/>
        <v>3</v>
      </c>
      <c r="N73" s="14"/>
      <c r="O73" s="15">
        <f t="shared" si="6"/>
        <v>34.0591366906475</v>
      </c>
      <c r="P73" s="16"/>
      <c r="Q73" s="14">
        <f t="shared" si="7"/>
        <v>3</v>
      </c>
      <c r="R73" s="14"/>
      <c r="S73" s="14"/>
      <c r="T73" s="13" t="str">
        <f t="shared" si="8"/>
        <v>On-Time</v>
      </c>
      <c r="U73" s="14"/>
      <c r="V73" s="13" t="str">
        <f t="shared" si="9"/>
        <v>Low Quantity</v>
      </c>
      <c r="W73" s="16"/>
    </row>
    <row r="74" spans="1:23">
      <c r="A74" s="5" t="s">
        <v>133</v>
      </c>
      <c r="B74" s="6">
        <v>45664</v>
      </c>
      <c r="C74" s="7" t="s">
        <v>24</v>
      </c>
      <c r="D74" s="7" t="s">
        <v>51</v>
      </c>
      <c r="E74" s="8">
        <v>1071</v>
      </c>
      <c r="F74" s="9">
        <v>10488.6</v>
      </c>
      <c r="G74" s="6">
        <v>45666</v>
      </c>
      <c r="H74" s="6">
        <v>45668</v>
      </c>
      <c r="I74" s="7" t="s">
        <v>49</v>
      </c>
      <c r="J74" s="7" t="s">
        <v>26</v>
      </c>
      <c r="K74" s="7" t="s">
        <v>27</v>
      </c>
      <c r="M74" s="13">
        <f t="shared" si="5"/>
        <v>2</v>
      </c>
      <c r="N74" s="14"/>
      <c r="O74" s="15">
        <f t="shared" si="6"/>
        <v>9.79327731092437</v>
      </c>
      <c r="P74" s="16"/>
      <c r="Q74" s="14">
        <f t="shared" si="7"/>
        <v>2</v>
      </c>
      <c r="R74" s="14"/>
      <c r="S74" s="14"/>
      <c r="T74" s="13" t="str">
        <f t="shared" si="8"/>
        <v>On-Time</v>
      </c>
      <c r="U74" s="14"/>
      <c r="V74" s="13" t="str">
        <f t="shared" si="9"/>
        <v>Low Quantity</v>
      </c>
      <c r="W74" s="16"/>
    </row>
    <row r="75" spans="1:23">
      <c r="A75" s="5" t="s">
        <v>134</v>
      </c>
      <c r="B75" s="6">
        <v>45461</v>
      </c>
      <c r="C75" s="7" t="s">
        <v>68</v>
      </c>
      <c r="D75" s="7" t="s">
        <v>39</v>
      </c>
      <c r="E75" s="8">
        <v>3764</v>
      </c>
      <c r="F75" s="9">
        <v>7929.93</v>
      </c>
      <c r="G75" s="6">
        <v>45464</v>
      </c>
      <c r="H75" s="6">
        <v>45468</v>
      </c>
      <c r="I75" s="7" t="s">
        <v>19</v>
      </c>
      <c r="J75" s="7" t="s">
        <v>26</v>
      </c>
      <c r="K75" s="7" t="s">
        <v>27</v>
      </c>
      <c r="M75" s="13">
        <f t="shared" si="5"/>
        <v>4</v>
      </c>
      <c r="N75" s="14"/>
      <c r="O75" s="15">
        <f t="shared" si="6"/>
        <v>2.10678267800213</v>
      </c>
      <c r="P75" s="16"/>
      <c r="Q75" s="14">
        <f t="shared" si="7"/>
        <v>3</v>
      </c>
      <c r="R75" s="14"/>
      <c r="S75" s="14"/>
      <c r="T75" s="13" t="str">
        <f t="shared" si="8"/>
        <v>On-Time</v>
      </c>
      <c r="U75" s="14"/>
      <c r="V75" s="13" t="str">
        <f t="shared" si="9"/>
        <v>High Quantity</v>
      </c>
      <c r="W75" s="16"/>
    </row>
    <row r="76" spans="1:23">
      <c r="A76" s="5" t="s">
        <v>135</v>
      </c>
      <c r="B76" s="6">
        <v>45559</v>
      </c>
      <c r="C76" s="7" t="s">
        <v>87</v>
      </c>
      <c r="D76" s="7" t="s">
        <v>81</v>
      </c>
      <c r="E76" s="5">
        <v>336</v>
      </c>
      <c r="F76" s="9">
        <v>2384.87</v>
      </c>
      <c r="G76" s="6">
        <v>45561</v>
      </c>
      <c r="H76" s="6">
        <v>45569</v>
      </c>
      <c r="I76" s="7" t="s">
        <v>49</v>
      </c>
      <c r="J76" s="7" t="s">
        <v>26</v>
      </c>
      <c r="K76" s="7" t="s">
        <v>27</v>
      </c>
      <c r="M76" s="13">
        <f t="shared" si="5"/>
        <v>8</v>
      </c>
      <c r="N76" s="14"/>
      <c r="O76" s="15">
        <f t="shared" si="6"/>
        <v>7.09782738095238</v>
      </c>
      <c r="P76" s="16"/>
      <c r="Q76" s="14">
        <f t="shared" si="7"/>
        <v>2</v>
      </c>
      <c r="R76" s="14"/>
      <c r="S76" s="14"/>
      <c r="T76" s="13" t="str">
        <f t="shared" si="8"/>
        <v>On-Time</v>
      </c>
      <c r="U76" s="14"/>
      <c r="V76" s="13" t="str">
        <f t="shared" si="9"/>
        <v>Low Quantity</v>
      </c>
      <c r="W76" s="16"/>
    </row>
    <row r="77" spans="1:23">
      <c r="A77" s="5" t="s">
        <v>136</v>
      </c>
      <c r="B77" s="6">
        <v>45629</v>
      </c>
      <c r="C77" s="7" t="s">
        <v>56</v>
      </c>
      <c r="D77" s="7" t="s">
        <v>51</v>
      </c>
      <c r="E77" s="8">
        <v>4778</v>
      </c>
      <c r="F77" s="9">
        <v>10482.81</v>
      </c>
      <c r="G77" s="6">
        <v>45631</v>
      </c>
      <c r="H77" s="6">
        <v>45637</v>
      </c>
      <c r="I77" s="7" t="s">
        <v>19</v>
      </c>
      <c r="J77" s="7" t="s">
        <v>26</v>
      </c>
      <c r="K77" s="7" t="s">
        <v>27</v>
      </c>
      <c r="M77" s="13">
        <f t="shared" si="5"/>
        <v>6</v>
      </c>
      <c r="N77" s="14"/>
      <c r="O77" s="15">
        <f t="shared" si="6"/>
        <v>2.19397446630389</v>
      </c>
      <c r="P77" s="16"/>
      <c r="Q77" s="14">
        <f t="shared" si="7"/>
        <v>2</v>
      </c>
      <c r="R77" s="14"/>
      <c r="S77" s="14"/>
      <c r="T77" s="13" t="str">
        <f t="shared" si="8"/>
        <v>On-Time</v>
      </c>
      <c r="U77" s="14"/>
      <c r="V77" s="13" t="str">
        <f t="shared" si="9"/>
        <v>High Quantity</v>
      </c>
      <c r="W77" s="16"/>
    </row>
    <row r="78" spans="1:23">
      <c r="A78" s="5" t="s">
        <v>137</v>
      </c>
      <c r="B78" s="6">
        <v>45436</v>
      </c>
      <c r="C78" s="7" t="s">
        <v>92</v>
      </c>
      <c r="D78" s="7" t="s">
        <v>18</v>
      </c>
      <c r="E78" s="8">
        <v>1116</v>
      </c>
      <c r="F78" s="9">
        <v>9561.53</v>
      </c>
      <c r="G78" s="6">
        <v>45439</v>
      </c>
      <c r="H78" s="6">
        <v>45442</v>
      </c>
      <c r="I78" s="7" t="s">
        <v>19</v>
      </c>
      <c r="J78" s="7" t="s">
        <v>26</v>
      </c>
      <c r="K78" s="7" t="s">
        <v>27</v>
      </c>
      <c r="M78" s="13">
        <f t="shared" si="5"/>
        <v>3</v>
      </c>
      <c r="N78" s="14"/>
      <c r="O78" s="15">
        <f t="shared" si="6"/>
        <v>8.56767921146954</v>
      </c>
      <c r="P78" s="16"/>
      <c r="Q78" s="14">
        <f t="shared" si="7"/>
        <v>3</v>
      </c>
      <c r="R78" s="14"/>
      <c r="S78" s="14"/>
      <c r="T78" s="13" t="str">
        <f t="shared" si="8"/>
        <v>On-Time</v>
      </c>
      <c r="U78" s="14"/>
      <c r="V78" s="13" t="str">
        <f t="shared" si="9"/>
        <v>Low Quantity</v>
      </c>
      <c r="W78" s="16"/>
    </row>
    <row r="79" spans="1:23">
      <c r="A79" s="5" t="s">
        <v>138</v>
      </c>
      <c r="B79" s="6">
        <v>45875</v>
      </c>
      <c r="C79" s="7" t="s">
        <v>58</v>
      </c>
      <c r="D79" s="7" t="s">
        <v>34</v>
      </c>
      <c r="E79" s="5">
        <v>944</v>
      </c>
      <c r="F79" s="9">
        <v>19134.03</v>
      </c>
      <c r="G79" s="6">
        <v>45876</v>
      </c>
      <c r="H79" s="6">
        <v>45884</v>
      </c>
      <c r="I79" s="7" t="s">
        <v>49</v>
      </c>
      <c r="J79" s="7" t="s">
        <v>26</v>
      </c>
      <c r="K79" s="7" t="s">
        <v>27</v>
      </c>
      <c r="M79" s="13">
        <f t="shared" si="5"/>
        <v>8</v>
      </c>
      <c r="N79" s="14"/>
      <c r="O79" s="15">
        <f t="shared" si="6"/>
        <v>20.2690995762712</v>
      </c>
      <c r="P79" s="16"/>
      <c r="Q79" s="14">
        <f t="shared" si="7"/>
        <v>1</v>
      </c>
      <c r="R79" s="14"/>
      <c r="S79" s="14"/>
      <c r="T79" s="13" t="str">
        <f t="shared" si="8"/>
        <v>On-Time</v>
      </c>
      <c r="U79" s="14"/>
      <c r="V79" s="13" t="str">
        <f t="shared" si="9"/>
        <v>Low Quantity</v>
      </c>
      <c r="W79" s="16"/>
    </row>
    <row r="80" spans="1:23">
      <c r="A80" s="5" t="s">
        <v>139</v>
      </c>
      <c r="B80" s="6">
        <v>45899</v>
      </c>
      <c r="C80" s="7" t="s">
        <v>92</v>
      </c>
      <c r="D80" s="7" t="s">
        <v>46</v>
      </c>
      <c r="E80" s="5">
        <v>892</v>
      </c>
      <c r="F80" s="9">
        <v>4557.12</v>
      </c>
      <c r="G80" s="6">
        <v>45901</v>
      </c>
      <c r="H80" s="6">
        <v>45923</v>
      </c>
      <c r="I80" s="7" t="s">
        <v>49</v>
      </c>
      <c r="J80" s="7" t="s">
        <v>20</v>
      </c>
      <c r="K80" s="7" t="s">
        <v>27</v>
      </c>
      <c r="M80" s="13">
        <f t="shared" si="5"/>
        <v>22</v>
      </c>
      <c r="N80" s="14"/>
      <c r="O80" s="15">
        <f t="shared" si="6"/>
        <v>5.10887892376682</v>
      </c>
      <c r="P80" s="16"/>
      <c r="Q80" s="14">
        <f t="shared" si="7"/>
        <v>2</v>
      </c>
      <c r="R80" s="14"/>
      <c r="S80" s="14"/>
      <c r="T80" s="13" t="str">
        <f t="shared" si="8"/>
        <v>On-Time</v>
      </c>
      <c r="U80" s="14"/>
      <c r="V80" s="13" t="str">
        <f t="shared" si="9"/>
        <v>Low Quantity</v>
      </c>
      <c r="W80" s="16"/>
    </row>
    <row r="81" spans="1:23">
      <c r="A81" s="5" t="s">
        <v>140</v>
      </c>
      <c r="B81" s="6">
        <v>45616</v>
      </c>
      <c r="C81" s="7" t="s">
        <v>29</v>
      </c>
      <c r="D81" s="7" t="s">
        <v>34</v>
      </c>
      <c r="E81" s="8">
        <v>4153</v>
      </c>
      <c r="F81" s="9">
        <v>31424.43</v>
      </c>
      <c r="G81" s="6">
        <v>45619</v>
      </c>
      <c r="H81" s="6">
        <v>45625</v>
      </c>
      <c r="I81" s="7" t="s">
        <v>49</v>
      </c>
      <c r="J81" s="7" t="s">
        <v>26</v>
      </c>
      <c r="K81" s="7" t="s">
        <v>27</v>
      </c>
      <c r="M81" s="13">
        <f t="shared" si="5"/>
        <v>6</v>
      </c>
      <c r="N81" s="14"/>
      <c r="O81" s="15">
        <f t="shared" si="6"/>
        <v>7.56668191668673</v>
      </c>
      <c r="P81" s="16"/>
      <c r="Q81" s="14">
        <f t="shared" si="7"/>
        <v>3</v>
      </c>
      <c r="R81" s="14"/>
      <c r="S81" s="14"/>
      <c r="T81" s="13" t="str">
        <f t="shared" si="8"/>
        <v>On-Time</v>
      </c>
      <c r="U81" s="14"/>
      <c r="V81" s="13" t="str">
        <f t="shared" si="9"/>
        <v>High Quantity</v>
      </c>
      <c r="W81" s="16"/>
    </row>
    <row r="82" spans="1:23">
      <c r="A82" s="5" t="s">
        <v>141</v>
      </c>
      <c r="B82" s="6">
        <v>45652</v>
      </c>
      <c r="C82" s="7" t="s">
        <v>33</v>
      </c>
      <c r="D82" s="7" t="s">
        <v>39</v>
      </c>
      <c r="E82" s="8">
        <v>2000</v>
      </c>
      <c r="F82" s="9">
        <v>19367.65</v>
      </c>
      <c r="G82" s="6">
        <v>45654</v>
      </c>
      <c r="H82" s="6">
        <v>45659</v>
      </c>
      <c r="I82" s="7" t="s">
        <v>30</v>
      </c>
      <c r="J82" s="7" t="s">
        <v>59</v>
      </c>
      <c r="K82" s="7" t="s">
        <v>27</v>
      </c>
      <c r="M82" s="13">
        <f t="shared" si="5"/>
        <v>5</v>
      </c>
      <c r="N82" s="14"/>
      <c r="O82" s="15">
        <f t="shared" si="6"/>
        <v>9.683825</v>
      </c>
      <c r="P82" s="16"/>
      <c r="Q82" s="14">
        <f t="shared" si="7"/>
        <v>2</v>
      </c>
      <c r="R82" s="14"/>
      <c r="S82" s="14"/>
      <c r="T82" s="13" t="str">
        <f t="shared" si="8"/>
        <v>On-Time</v>
      </c>
      <c r="U82" s="14"/>
      <c r="V82" s="13" t="str">
        <f t="shared" si="9"/>
        <v>Low Quantity</v>
      </c>
      <c r="W82" s="16"/>
    </row>
    <row r="83" spans="1:23">
      <c r="A83" s="5" t="s">
        <v>142</v>
      </c>
      <c r="B83" s="6">
        <v>45575</v>
      </c>
      <c r="C83" s="7" t="s">
        <v>87</v>
      </c>
      <c r="D83" s="7" t="s">
        <v>41</v>
      </c>
      <c r="E83" s="8">
        <v>2067</v>
      </c>
      <c r="F83" s="9">
        <v>5208.94</v>
      </c>
      <c r="G83" s="6">
        <v>45577</v>
      </c>
      <c r="H83" s="6">
        <v>45610</v>
      </c>
      <c r="I83" s="7" t="s">
        <v>49</v>
      </c>
      <c r="J83" s="7" t="s">
        <v>20</v>
      </c>
      <c r="K83" s="7" t="s">
        <v>21</v>
      </c>
      <c r="M83" s="13">
        <f t="shared" si="5"/>
        <v>33</v>
      </c>
      <c r="N83" s="14"/>
      <c r="O83" s="15">
        <f t="shared" si="6"/>
        <v>2.52004837929366</v>
      </c>
      <c r="P83" s="16"/>
      <c r="Q83" s="14">
        <f t="shared" si="7"/>
        <v>2</v>
      </c>
      <c r="R83" s="14"/>
      <c r="S83" s="14"/>
      <c r="T83" s="13" t="str">
        <f t="shared" si="8"/>
        <v>Delayed</v>
      </c>
      <c r="U83" s="14"/>
      <c r="V83" s="13" t="str">
        <f t="shared" si="9"/>
        <v>Low Quantity</v>
      </c>
      <c r="W83" s="16"/>
    </row>
    <row r="84" spans="1:23">
      <c r="A84" s="5" t="s">
        <v>143</v>
      </c>
      <c r="B84" s="6">
        <v>45484</v>
      </c>
      <c r="C84" s="7" t="s">
        <v>17</v>
      </c>
      <c r="D84" s="7" t="s">
        <v>25</v>
      </c>
      <c r="E84" s="8">
        <v>1661</v>
      </c>
      <c r="F84" s="9">
        <v>667.96</v>
      </c>
      <c r="G84" s="6">
        <v>45486</v>
      </c>
      <c r="H84" s="6">
        <v>45488</v>
      </c>
      <c r="I84" s="7" t="s">
        <v>35</v>
      </c>
      <c r="J84" s="7" t="s">
        <v>26</v>
      </c>
      <c r="K84" s="7" t="s">
        <v>27</v>
      </c>
      <c r="M84" s="13">
        <f t="shared" si="5"/>
        <v>2</v>
      </c>
      <c r="N84" s="14"/>
      <c r="O84" s="15">
        <f t="shared" si="6"/>
        <v>0.4021432871764</v>
      </c>
      <c r="P84" s="16"/>
      <c r="Q84" s="14">
        <f t="shared" si="7"/>
        <v>2</v>
      </c>
      <c r="R84" s="14"/>
      <c r="S84" s="14"/>
      <c r="T84" s="13" t="str">
        <f t="shared" si="8"/>
        <v>On-Time</v>
      </c>
      <c r="U84" s="14"/>
      <c r="V84" s="13" t="str">
        <f t="shared" si="9"/>
        <v>Low Quantity</v>
      </c>
      <c r="W84" s="16"/>
    </row>
    <row r="85" spans="1:23">
      <c r="A85" s="5" t="s">
        <v>144</v>
      </c>
      <c r="B85" s="6">
        <v>45755</v>
      </c>
      <c r="C85" s="7" t="s">
        <v>24</v>
      </c>
      <c r="D85" s="7" t="s">
        <v>81</v>
      </c>
      <c r="E85" s="5">
        <v>958</v>
      </c>
      <c r="F85" s="9">
        <v>1449.41</v>
      </c>
      <c r="G85" s="6">
        <v>45756</v>
      </c>
      <c r="H85" s="6">
        <v>45767</v>
      </c>
      <c r="I85" s="7" t="s">
        <v>19</v>
      </c>
      <c r="J85" s="7" t="s">
        <v>44</v>
      </c>
      <c r="K85" s="7" t="s">
        <v>27</v>
      </c>
      <c r="M85" s="13">
        <f t="shared" si="5"/>
        <v>11</v>
      </c>
      <c r="N85" s="14"/>
      <c r="O85" s="15">
        <f t="shared" si="6"/>
        <v>1.51295407098121</v>
      </c>
      <c r="P85" s="16"/>
      <c r="Q85" s="14">
        <f t="shared" si="7"/>
        <v>1</v>
      </c>
      <c r="R85" s="14"/>
      <c r="S85" s="14"/>
      <c r="T85" s="13" t="str">
        <f t="shared" si="8"/>
        <v>On-Time</v>
      </c>
      <c r="U85" s="14"/>
      <c r="V85" s="13" t="str">
        <f t="shared" si="9"/>
        <v>Low Quantity</v>
      </c>
      <c r="W85" s="16"/>
    </row>
    <row r="86" spans="1:23">
      <c r="A86" s="5" t="s">
        <v>145</v>
      </c>
      <c r="B86" s="6">
        <v>45312</v>
      </c>
      <c r="C86" s="7" t="s">
        <v>38</v>
      </c>
      <c r="D86" s="7" t="s">
        <v>46</v>
      </c>
      <c r="E86" s="8">
        <v>1694</v>
      </c>
      <c r="F86" s="9">
        <v>6629.81</v>
      </c>
      <c r="G86" s="6">
        <v>45313</v>
      </c>
      <c r="H86" s="6">
        <v>45328</v>
      </c>
      <c r="I86" s="7" t="s">
        <v>19</v>
      </c>
      <c r="J86" s="7" t="s">
        <v>44</v>
      </c>
      <c r="K86" s="7" t="s">
        <v>21</v>
      </c>
      <c r="M86" s="13">
        <f t="shared" si="5"/>
        <v>15</v>
      </c>
      <c r="N86" s="14"/>
      <c r="O86" s="15">
        <f t="shared" si="6"/>
        <v>3.9137012987013</v>
      </c>
      <c r="P86" s="16"/>
      <c r="Q86" s="14">
        <f t="shared" si="7"/>
        <v>1</v>
      </c>
      <c r="R86" s="14"/>
      <c r="S86" s="14"/>
      <c r="T86" s="13" t="str">
        <f t="shared" si="8"/>
        <v>Delayed</v>
      </c>
      <c r="U86" s="14"/>
      <c r="V86" s="13" t="str">
        <f t="shared" si="9"/>
        <v>Low Quantity</v>
      </c>
      <c r="W86" s="16"/>
    </row>
    <row r="87" spans="1:23">
      <c r="A87" s="5" t="s">
        <v>146</v>
      </c>
      <c r="B87" s="6">
        <v>45576</v>
      </c>
      <c r="C87" s="7" t="s">
        <v>94</v>
      </c>
      <c r="D87" s="7" t="s">
        <v>77</v>
      </c>
      <c r="E87" s="8">
        <v>1230</v>
      </c>
      <c r="F87" s="9">
        <v>2797.2</v>
      </c>
      <c r="G87" s="6">
        <v>45577</v>
      </c>
      <c r="H87" s="6">
        <v>45586</v>
      </c>
      <c r="I87" s="7" t="s">
        <v>30</v>
      </c>
      <c r="J87" s="7" t="s">
        <v>26</v>
      </c>
      <c r="K87" s="7" t="s">
        <v>21</v>
      </c>
      <c r="M87" s="13">
        <f t="shared" si="5"/>
        <v>9</v>
      </c>
      <c r="N87" s="14"/>
      <c r="O87" s="15">
        <f t="shared" si="6"/>
        <v>2.27414634146341</v>
      </c>
      <c r="P87" s="16"/>
      <c r="Q87" s="14">
        <f t="shared" si="7"/>
        <v>1</v>
      </c>
      <c r="R87" s="14"/>
      <c r="S87" s="14"/>
      <c r="T87" s="13" t="str">
        <f t="shared" si="8"/>
        <v>Delayed</v>
      </c>
      <c r="U87" s="14"/>
      <c r="V87" s="13" t="str">
        <f t="shared" si="9"/>
        <v>Low Quantity</v>
      </c>
      <c r="W87" s="16"/>
    </row>
    <row r="88" spans="1:23">
      <c r="A88" s="5" t="s">
        <v>147</v>
      </c>
      <c r="B88" s="6">
        <v>45963</v>
      </c>
      <c r="C88" s="7" t="s">
        <v>65</v>
      </c>
      <c r="D88" s="7" t="s">
        <v>18</v>
      </c>
      <c r="E88" s="8">
        <v>2272</v>
      </c>
      <c r="F88" s="9">
        <v>1672.31</v>
      </c>
      <c r="G88" s="6">
        <v>45965</v>
      </c>
      <c r="H88" s="6">
        <v>45966</v>
      </c>
      <c r="I88" s="7" t="s">
        <v>30</v>
      </c>
      <c r="J88" s="7" t="s">
        <v>59</v>
      </c>
      <c r="K88" s="7" t="s">
        <v>27</v>
      </c>
      <c r="M88" s="13">
        <f t="shared" si="5"/>
        <v>1</v>
      </c>
      <c r="N88" s="14"/>
      <c r="O88" s="15">
        <f t="shared" si="6"/>
        <v>0.736051936619718</v>
      </c>
      <c r="P88" s="16"/>
      <c r="Q88" s="14">
        <f t="shared" si="7"/>
        <v>2</v>
      </c>
      <c r="R88" s="14"/>
      <c r="S88" s="14"/>
      <c r="T88" s="13" t="str">
        <f t="shared" si="8"/>
        <v>On-Time</v>
      </c>
      <c r="U88" s="14"/>
      <c r="V88" s="13" t="str">
        <f t="shared" si="9"/>
        <v>Low Quantity</v>
      </c>
      <c r="W88" s="16"/>
    </row>
    <row r="89" spans="1:23">
      <c r="A89" s="5" t="s">
        <v>148</v>
      </c>
      <c r="B89" s="6">
        <v>45733</v>
      </c>
      <c r="C89" s="7" t="s">
        <v>92</v>
      </c>
      <c r="D89" s="7" t="s">
        <v>41</v>
      </c>
      <c r="E89" s="8">
        <v>2044</v>
      </c>
      <c r="F89" s="9">
        <v>15224.23</v>
      </c>
      <c r="G89" s="6">
        <v>45735</v>
      </c>
      <c r="H89" s="6">
        <v>45743</v>
      </c>
      <c r="I89" s="7" t="s">
        <v>19</v>
      </c>
      <c r="J89" s="7" t="s">
        <v>26</v>
      </c>
      <c r="K89" s="7" t="s">
        <v>27</v>
      </c>
      <c r="M89" s="13">
        <f t="shared" si="5"/>
        <v>8</v>
      </c>
      <c r="N89" s="14"/>
      <c r="O89" s="15">
        <f t="shared" si="6"/>
        <v>7.44825342465753</v>
      </c>
      <c r="P89" s="16"/>
      <c r="Q89" s="14">
        <f t="shared" si="7"/>
        <v>2</v>
      </c>
      <c r="R89" s="14"/>
      <c r="S89" s="14"/>
      <c r="T89" s="13" t="str">
        <f t="shared" si="8"/>
        <v>On-Time</v>
      </c>
      <c r="U89" s="14"/>
      <c r="V89" s="13" t="str">
        <f t="shared" si="9"/>
        <v>Low Quantity</v>
      </c>
      <c r="W89" s="16"/>
    </row>
    <row r="90" spans="1:23">
      <c r="A90" s="5" t="s">
        <v>149</v>
      </c>
      <c r="B90" s="6">
        <v>46010</v>
      </c>
      <c r="C90" s="7" t="s">
        <v>33</v>
      </c>
      <c r="D90" s="7" t="s">
        <v>18</v>
      </c>
      <c r="E90" s="8">
        <v>4352</v>
      </c>
      <c r="F90" s="9">
        <v>1620.42</v>
      </c>
      <c r="G90" s="6">
        <v>46011</v>
      </c>
      <c r="H90" s="6">
        <v>46014</v>
      </c>
      <c r="I90" s="7" t="s">
        <v>49</v>
      </c>
      <c r="J90" s="7" t="s">
        <v>26</v>
      </c>
      <c r="K90" s="7" t="s">
        <v>27</v>
      </c>
      <c r="M90" s="13">
        <f t="shared" si="5"/>
        <v>3</v>
      </c>
      <c r="N90" s="14"/>
      <c r="O90" s="15">
        <f t="shared" si="6"/>
        <v>0.372339154411765</v>
      </c>
      <c r="P90" s="16"/>
      <c r="Q90" s="14">
        <f t="shared" si="7"/>
        <v>1</v>
      </c>
      <c r="R90" s="14"/>
      <c r="S90" s="14"/>
      <c r="T90" s="13" t="str">
        <f t="shared" si="8"/>
        <v>On-Time</v>
      </c>
      <c r="U90" s="14"/>
      <c r="V90" s="13" t="str">
        <f t="shared" si="9"/>
        <v>High Quantity</v>
      </c>
      <c r="W90" s="16"/>
    </row>
    <row r="91" spans="1:23">
      <c r="A91" s="5" t="s">
        <v>150</v>
      </c>
      <c r="B91" s="6">
        <v>45425</v>
      </c>
      <c r="C91" s="7" t="s">
        <v>68</v>
      </c>
      <c r="D91" s="7" t="s">
        <v>34</v>
      </c>
      <c r="E91" s="8">
        <v>2236</v>
      </c>
      <c r="F91" s="9">
        <v>24095.03</v>
      </c>
      <c r="G91" s="6">
        <v>45428</v>
      </c>
      <c r="H91" s="6">
        <v>45442</v>
      </c>
      <c r="I91" s="7" t="s">
        <v>19</v>
      </c>
      <c r="J91" s="7" t="s">
        <v>44</v>
      </c>
      <c r="K91" s="7" t="s">
        <v>21</v>
      </c>
      <c r="M91" s="13">
        <f t="shared" si="5"/>
        <v>14</v>
      </c>
      <c r="N91" s="14"/>
      <c r="O91" s="15">
        <f t="shared" si="6"/>
        <v>10.7759525939177</v>
      </c>
      <c r="P91" s="16"/>
      <c r="Q91" s="14">
        <f t="shared" si="7"/>
        <v>3</v>
      </c>
      <c r="R91" s="14"/>
      <c r="S91" s="14"/>
      <c r="T91" s="13" t="str">
        <f t="shared" si="8"/>
        <v>Delayed</v>
      </c>
      <c r="U91" s="14"/>
      <c r="V91" s="13" t="str">
        <f t="shared" si="9"/>
        <v>Low Quantity</v>
      </c>
      <c r="W91" s="16"/>
    </row>
    <row r="92" spans="1:23">
      <c r="A92" s="5" t="s">
        <v>151</v>
      </c>
      <c r="B92" s="6">
        <v>45789</v>
      </c>
      <c r="C92" s="7" t="s">
        <v>79</v>
      </c>
      <c r="D92" s="7" t="s">
        <v>81</v>
      </c>
      <c r="E92" s="8">
        <v>4691</v>
      </c>
      <c r="F92" s="9">
        <v>457.51</v>
      </c>
      <c r="G92" s="6">
        <v>45790</v>
      </c>
      <c r="H92" s="6">
        <v>45794</v>
      </c>
      <c r="I92" s="7" t="s">
        <v>19</v>
      </c>
      <c r="J92" s="7" t="s">
        <v>59</v>
      </c>
      <c r="K92" s="7" t="s">
        <v>27</v>
      </c>
      <c r="M92" s="13">
        <f t="shared" si="5"/>
        <v>4</v>
      </c>
      <c r="N92" s="14"/>
      <c r="O92" s="15">
        <f t="shared" si="6"/>
        <v>0.0975293114474526</v>
      </c>
      <c r="P92" s="16"/>
      <c r="Q92" s="14">
        <f t="shared" si="7"/>
        <v>1</v>
      </c>
      <c r="R92" s="14"/>
      <c r="S92" s="14"/>
      <c r="T92" s="13" t="str">
        <f t="shared" si="8"/>
        <v>On-Time</v>
      </c>
      <c r="U92" s="14"/>
      <c r="V92" s="13" t="str">
        <f t="shared" si="9"/>
        <v>High Quantity</v>
      </c>
      <c r="W92" s="16"/>
    </row>
    <row r="93" spans="1:23">
      <c r="A93" s="5" t="s">
        <v>152</v>
      </c>
      <c r="B93" s="6">
        <v>45397</v>
      </c>
      <c r="C93" s="7" t="s">
        <v>92</v>
      </c>
      <c r="D93" s="7" t="s">
        <v>81</v>
      </c>
      <c r="E93" s="5">
        <v>726</v>
      </c>
      <c r="F93" s="9">
        <v>1497.38</v>
      </c>
      <c r="G93" s="6">
        <v>45398</v>
      </c>
      <c r="H93" s="6">
        <v>45400</v>
      </c>
      <c r="I93" s="7" t="s">
        <v>19</v>
      </c>
      <c r="J93" s="7" t="s">
        <v>26</v>
      </c>
      <c r="K93" s="7" t="s">
        <v>27</v>
      </c>
      <c r="M93" s="13">
        <f t="shared" si="5"/>
        <v>2</v>
      </c>
      <c r="N93" s="14"/>
      <c r="O93" s="15">
        <f t="shared" si="6"/>
        <v>2.06250688705234</v>
      </c>
      <c r="P93" s="16"/>
      <c r="Q93" s="14">
        <f t="shared" si="7"/>
        <v>1</v>
      </c>
      <c r="R93" s="14"/>
      <c r="S93" s="14"/>
      <c r="T93" s="13" t="str">
        <f t="shared" si="8"/>
        <v>On-Time</v>
      </c>
      <c r="U93" s="14"/>
      <c r="V93" s="13" t="str">
        <f t="shared" si="9"/>
        <v>Low Quantity</v>
      </c>
      <c r="W93" s="16"/>
    </row>
    <row r="94" spans="1:23">
      <c r="A94" s="5" t="s">
        <v>153</v>
      </c>
      <c r="B94" s="6">
        <v>45694</v>
      </c>
      <c r="C94" s="7" t="s">
        <v>17</v>
      </c>
      <c r="D94" s="7" t="s">
        <v>25</v>
      </c>
      <c r="E94" s="8">
        <v>4385</v>
      </c>
      <c r="F94" s="9">
        <v>3478.07</v>
      </c>
      <c r="G94" s="6">
        <v>45695</v>
      </c>
      <c r="H94" s="6">
        <v>45699</v>
      </c>
      <c r="I94" s="7" t="s">
        <v>35</v>
      </c>
      <c r="J94" s="7" t="s">
        <v>59</v>
      </c>
      <c r="K94" s="7" t="s">
        <v>27</v>
      </c>
      <c r="M94" s="13">
        <f t="shared" si="5"/>
        <v>4</v>
      </c>
      <c r="N94" s="14"/>
      <c r="O94" s="15">
        <f t="shared" si="6"/>
        <v>0.793174458380844</v>
      </c>
      <c r="P94" s="16"/>
      <c r="Q94" s="14">
        <f t="shared" si="7"/>
        <v>1</v>
      </c>
      <c r="R94" s="14"/>
      <c r="S94" s="14"/>
      <c r="T94" s="13" t="str">
        <f t="shared" si="8"/>
        <v>On-Time</v>
      </c>
      <c r="U94" s="14"/>
      <c r="V94" s="13" t="str">
        <f t="shared" si="9"/>
        <v>High Quantity</v>
      </c>
      <c r="W94" s="16"/>
    </row>
    <row r="95" spans="1:23">
      <c r="A95" s="5" t="s">
        <v>154</v>
      </c>
      <c r="B95" s="6">
        <v>45757</v>
      </c>
      <c r="C95" s="7" t="s">
        <v>24</v>
      </c>
      <c r="D95" s="7" t="s">
        <v>81</v>
      </c>
      <c r="E95" s="8">
        <v>3963</v>
      </c>
      <c r="F95" s="9">
        <v>126.08</v>
      </c>
      <c r="G95" s="6">
        <v>45760</v>
      </c>
      <c r="H95" s="6">
        <v>45768</v>
      </c>
      <c r="I95" s="7" t="s">
        <v>35</v>
      </c>
      <c r="J95" s="7" t="s">
        <v>26</v>
      </c>
      <c r="K95" s="7" t="s">
        <v>27</v>
      </c>
      <c r="M95" s="13">
        <f t="shared" si="5"/>
        <v>8</v>
      </c>
      <c r="N95" s="14"/>
      <c r="O95" s="15">
        <f t="shared" si="6"/>
        <v>0.031814282109513</v>
      </c>
      <c r="P95" s="16"/>
      <c r="Q95" s="14">
        <f t="shared" si="7"/>
        <v>3</v>
      </c>
      <c r="R95" s="14"/>
      <c r="S95" s="14"/>
      <c r="T95" s="13" t="str">
        <f t="shared" si="8"/>
        <v>On-Time</v>
      </c>
      <c r="U95" s="14"/>
      <c r="V95" s="13" t="str">
        <f t="shared" si="9"/>
        <v>High Quantity</v>
      </c>
      <c r="W95" s="16"/>
    </row>
    <row r="96" spans="1:23">
      <c r="A96" s="5" t="s">
        <v>155</v>
      </c>
      <c r="B96" s="6">
        <v>45980</v>
      </c>
      <c r="C96" s="7" t="s">
        <v>54</v>
      </c>
      <c r="D96" s="7" t="s">
        <v>100</v>
      </c>
      <c r="E96" s="8">
        <v>3370</v>
      </c>
      <c r="F96" s="9">
        <v>1475.44</v>
      </c>
      <c r="G96" s="6">
        <v>45982</v>
      </c>
      <c r="H96" s="6">
        <v>45992</v>
      </c>
      <c r="I96" s="7" t="s">
        <v>35</v>
      </c>
      <c r="J96" s="7" t="s">
        <v>26</v>
      </c>
      <c r="K96" s="7" t="s">
        <v>21</v>
      </c>
      <c r="M96" s="13">
        <f t="shared" si="5"/>
        <v>10</v>
      </c>
      <c r="N96" s="14"/>
      <c r="O96" s="15">
        <f t="shared" si="6"/>
        <v>0.437816023738872</v>
      </c>
      <c r="P96" s="16"/>
      <c r="Q96" s="14">
        <f t="shared" si="7"/>
        <v>2</v>
      </c>
      <c r="R96" s="14"/>
      <c r="S96" s="14"/>
      <c r="T96" s="13" t="str">
        <f t="shared" si="8"/>
        <v>Delayed</v>
      </c>
      <c r="U96" s="14"/>
      <c r="V96" s="13" t="str">
        <f t="shared" si="9"/>
        <v>High Quantity</v>
      </c>
      <c r="W96" s="16"/>
    </row>
    <row r="97" spans="1:23">
      <c r="A97" s="5" t="s">
        <v>156</v>
      </c>
      <c r="B97" s="6">
        <v>45714</v>
      </c>
      <c r="C97" s="7" t="s">
        <v>38</v>
      </c>
      <c r="D97" s="7" t="s">
        <v>39</v>
      </c>
      <c r="E97" s="8">
        <v>1095</v>
      </c>
      <c r="F97" s="9">
        <v>19600.52</v>
      </c>
      <c r="G97" s="6">
        <v>45717</v>
      </c>
      <c r="H97" s="6">
        <v>45722</v>
      </c>
      <c r="I97" s="7" t="s">
        <v>19</v>
      </c>
      <c r="J97" s="7" t="s">
        <v>59</v>
      </c>
      <c r="K97" s="7" t="s">
        <v>27</v>
      </c>
      <c r="M97" s="13">
        <f t="shared" si="5"/>
        <v>5</v>
      </c>
      <c r="N97" s="14"/>
      <c r="O97" s="15">
        <f t="shared" si="6"/>
        <v>17.9000182648402</v>
      </c>
      <c r="P97" s="16"/>
      <c r="Q97" s="14">
        <f t="shared" si="7"/>
        <v>3</v>
      </c>
      <c r="R97" s="14"/>
      <c r="S97" s="14"/>
      <c r="T97" s="13" t="str">
        <f t="shared" si="8"/>
        <v>On-Time</v>
      </c>
      <c r="U97" s="14"/>
      <c r="V97" s="13" t="str">
        <f t="shared" si="9"/>
        <v>Low Quantity</v>
      </c>
      <c r="W97" s="16"/>
    </row>
    <row r="98" spans="1:23">
      <c r="A98" s="5" t="s">
        <v>157</v>
      </c>
      <c r="B98" s="6">
        <v>45764</v>
      </c>
      <c r="C98" s="7" t="s">
        <v>56</v>
      </c>
      <c r="D98" s="7" t="s">
        <v>100</v>
      </c>
      <c r="E98" s="8">
        <v>3225</v>
      </c>
      <c r="F98" s="9">
        <v>1125.57</v>
      </c>
      <c r="G98" s="6">
        <v>45765</v>
      </c>
      <c r="H98" s="6">
        <v>45772</v>
      </c>
      <c r="I98" s="7" t="s">
        <v>30</v>
      </c>
      <c r="J98" s="7" t="s">
        <v>26</v>
      </c>
      <c r="K98" s="7" t="s">
        <v>27</v>
      </c>
      <c r="M98" s="13">
        <f t="shared" si="5"/>
        <v>7</v>
      </c>
      <c r="N98" s="14"/>
      <c r="O98" s="15">
        <f t="shared" si="6"/>
        <v>0.349013953488372</v>
      </c>
      <c r="P98" s="16"/>
      <c r="Q98" s="14">
        <f t="shared" si="7"/>
        <v>1</v>
      </c>
      <c r="R98" s="14"/>
      <c r="S98" s="14"/>
      <c r="T98" s="13" t="str">
        <f t="shared" si="8"/>
        <v>On-Time</v>
      </c>
      <c r="U98" s="14"/>
      <c r="V98" s="13" t="str">
        <f t="shared" si="9"/>
        <v>High Quantity</v>
      </c>
      <c r="W98" s="16"/>
    </row>
    <row r="99" spans="1:23">
      <c r="A99" s="5" t="s">
        <v>158</v>
      </c>
      <c r="B99" s="6">
        <v>45421</v>
      </c>
      <c r="C99" s="7" t="s">
        <v>87</v>
      </c>
      <c r="D99" s="7" t="s">
        <v>18</v>
      </c>
      <c r="E99" s="8">
        <v>1712</v>
      </c>
      <c r="F99" s="9">
        <v>9665.63</v>
      </c>
      <c r="G99" s="6">
        <v>45422</v>
      </c>
      <c r="H99" s="6">
        <v>45424</v>
      </c>
      <c r="I99" s="7" t="s">
        <v>19</v>
      </c>
      <c r="J99" s="7" t="s">
        <v>26</v>
      </c>
      <c r="K99" s="7" t="s">
        <v>27</v>
      </c>
      <c r="M99" s="13">
        <f t="shared" si="5"/>
        <v>2</v>
      </c>
      <c r="N99" s="14"/>
      <c r="O99" s="15">
        <f t="shared" si="6"/>
        <v>5.64581191588785</v>
      </c>
      <c r="P99" s="16"/>
      <c r="Q99" s="14">
        <f t="shared" si="7"/>
        <v>1</v>
      </c>
      <c r="R99" s="14"/>
      <c r="S99" s="14"/>
      <c r="T99" s="13" t="str">
        <f t="shared" si="8"/>
        <v>On-Time</v>
      </c>
      <c r="U99" s="14"/>
      <c r="V99" s="13" t="str">
        <f t="shared" si="9"/>
        <v>Low Quantity</v>
      </c>
      <c r="W99" s="16"/>
    </row>
    <row r="100" spans="1:23">
      <c r="A100" s="5" t="s">
        <v>159</v>
      </c>
      <c r="B100" s="6">
        <v>45836</v>
      </c>
      <c r="C100" s="7" t="s">
        <v>29</v>
      </c>
      <c r="D100" s="7" t="s">
        <v>18</v>
      </c>
      <c r="E100" s="5">
        <v>658</v>
      </c>
      <c r="F100" s="9">
        <v>9487.56</v>
      </c>
      <c r="G100" s="6">
        <v>45838</v>
      </c>
      <c r="H100" s="6">
        <v>45843</v>
      </c>
      <c r="I100" s="7" t="s">
        <v>19</v>
      </c>
      <c r="J100" s="7" t="s">
        <v>59</v>
      </c>
      <c r="K100" s="7" t="s">
        <v>27</v>
      </c>
      <c r="M100" s="13">
        <f t="shared" si="5"/>
        <v>5</v>
      </c>
      <c r="N100" s="14"/>
      <c r="O100" s="15">
        <f t="shared" si="6"/>
        <v>14.4187841945289</v>
      </c>
      <c r="P100" s="16"/>
      <c r="Q100" s="14">
        <f t="shared" si="7"/>
        <v>2</v>
      </c>
      <c r="R100" s="14"/>
      <c r="S100" s="14"/>
      <c r="T100" s="13" t="str">
        <f t="shared" si="8"/>
        <v>On-Time</v>
      </c>
      <c r="U100" s="14"/>
      <c r="V100" s="13" t="str">
        <f t="shared" si="9"/>
        <v>Low Quantity</v>
      </c>
      <c r="W100" s="16"/>
    </row>
    <row r="101" spans="1:23">
      <c r="A101" s="5" t="s">
        <v>160</v>
      </c>
      <c r="B101" s="6">
        <v>45721</v>
      </c>
      <c r="C101" s="7" t="s">
        <v>79</v>
      </c>
      <c r="D101" s="7" t="s">
        <v>51</v>
      </c>
      <c r="E101" s="8">
        <v>2678</v>
      </c>
      <c r="F101" s="9">
        <v>9474.86</v>
      </c>
      <c r="G101" s="6">
        <v>45724</v>
      </c>
      <c r="H101" s="6">
        <v>45732</v>
      </c>
      <c r="I101" s="7" t="s">
        <v>49</v>
      </c>
      <c r="J101" s="7" t="s">
        <v>44</v>
      </c>
      <c r="K101" s="7" t="s">
        <v>27</v>
      </c>
      <c r="M101" s="13">
        <f t="shared" si="5"/>
        <v>8</v>
      </c>
      <c r="N101" s="14"/>
      <c r="O101" s="15">
        <f t="shared" si="6"/>
        <v>3.5380358476475</v>
      </c>
      <c r="P101" s="16"/>
      <c r="Q101" s="14">
        <f t="shared" si="7"/>
        <v>3</v>
      </c>
      <c r="R101" s="14"/>
      <c r="S101" s="14"/>
      <c r="T101" s="13" t="str">
        <f t="shared" si="8"/>
        <v>On-Time</v>
      </c>
      <c r="U101" s="14"/>
      <c r="V101" s="13" t="str">
        <f t="shared" si="9"/>
        <v>Low Quantity</v>
      </c>
      <c r="W101" s="16"/>
    </row>
    <row r="102" spans="1:23">
      <c r="A102" s="5" t="s">
        <v>161</v>
      </c>
      <c r="B102" s="6">
        <v>45620</v>
      </c>
      <c r="C102" s="7" t="s">
        <v>38</v>
      </c>
      <c r="D102" s="7" t="s">
        <v>18</v>
      </c>
      <c r="E102" s="8">
        <v>3039</v>
      </c>
      <c r="F102" s="9">
        <v>610.56</v>
      </c>
      <c r="G102" s="6">
        <v>45621</v>
      </c>
      <c r="H102" s="6">
        <v>45626</v>
      </c>
      <c r="I102" s="7" t="s">
        <v>49</v>
      </c>
      <c r="J102" s="7" t="s">
        <v>44</v>
      </c>
      <c r="K102" s="7" t="s">
        <v>27</v>
      </c>
      <c r="M102" s="13">
        <f t="shared" si="5"/>
        <v>5</v>
      </c>
      <c r="N102" s="14"/>
      <c r="O102" s="15">
        <f t="shared" si="6"/>
        <v>0.200908193484699</v>
      </c>
      <c r="P102" s="16"/>
      <c r="Q102" s="14">
        <f t="shared" si="7"/>
        <v>1</v>
      </c>
      <c r="R102" s="14"/>
      <c r="S102" s="14"/>
      <c r="T102" s="13" t="str">
        <f t="shared" si="8"/>
        <v>On-Time</v>
      </c>
      <c r="U102" s="14"/>
      <c r="V102" s="13" t="str">
        <f t="shared" si="9"/>
        <v>High Quantity</v>
      </c>
      <c r="W102" s="16"/>
    </row>
    <row r="103" spans="1:23">
      <c r="A103" s="5" t="s">
        <v>162</v>
      </c>
      <c r="B103" s="6">
        <v>45758</v>
      </c>
      <c r="C103" s="7" t="s">
        <v>65</v>
      </c>
      <c r="D103" s="7" t="s">
        <v>81</v>
      </c>
      <c r="E103" s="5">
        <v>896</v>
      </c>
      <c r="F103" s="9">
        <v>1208.41</v>
      </c>
      <c r="G103" s="6">
        <v>45761</v>
      </c>
      <c r="H103" s="6">
        <v>45764</v>
      </c>
      <c r="I103" s="7" t="s">
        <v>30</v>
      </c>
      <c r="J103" s="7" t="s">
        <v>26</v>
      </c>
      <c r="K103" s="7" t="s">
        <v>27</v>
      </c>
      <c r="M103" s="13">
        <f t="shared" si="5"/>
        <v>3</v>
      </c>
      <c r="N103" s="14"/>
      <c r="O103" s="15">
        <f t="shared" si="6"/>
        <v>1.348671875</v>
      </c>
      <c r="P103" s="16"/>
      <c r="Q103" s="14">
        <f t="shared" si="7"/>
        <v>3</v>
      </c>
      <c r="R103" s="14"/>
      <c r="S103" s="14"/>
      <c r="T103" s="13" t="str">
        <f t="shared" si="8"/>
        <v>On-Time</v>
      </c>
      <c r="U103" s="14"/>
      <c r="V103" s="13" t="str">
        <f t="shared" si="9"/>
        <v>Low Quantity</v>
      </c>
      <c r="W103" s="16"/>
    </row>
    <row r="104" spans="1:23">
      <c r="A104" s="5" t="s">
        <v>163</v>
      </c>
      <c r="B104" s="6">
        <v>45528</v>
      </c>
      <c r="C104" s="7" t="s">
        <v>56</v>
      </c>
      <c r="D104" s="7" t="s">
        <v>41</v>
      </c>
      <c r="E104" s="8">
        <v>2305</v>
      </c>
      <c r="F104" s="9">
        <v>921.29</v>
      </c>
      <c r="G104" s="6">
        <v>45531</v>
      </c>
      <c r="H104" s="6">
        <v>45541</v>
      </c>
      <c r="I104" s="7" t="s">
        <v>49</v>
      </c>
      <c r="J104" s="7" t="s">
        <v>26</v>
      </c>
      <c r="K104" s="7" t="s">
        <v>21</v>
      </c>
      <c r="M104" s="13">
        <f t="shared" si="5"/>
        <v>10</v>
      </c>
      <c r="N104" s="14"/>
      <c r="O104" s="15">
        <f t="shared" si="6"/>
        <v>0.399691973969631</v>
      </c>
      <c r="P104" s="16"/>
      <c r="Q104" s="14">
        <f t="shared" si="7"/>
        <v>3</v>
      </c>
      <c r="R104" s="14"/>
      <c r="S104" s="14"/>
      <c r="T104" s="13" t="str">
        <f t="shared" si="8"/>
        <v>Delayed</v>
      </c>
      <c r="U104" s="14"/>
      <c r="V104" s="13" t="str">
        <f t="shared" si="9"/>
        <v>Low Quantity</v>
      </c>
      <c r="W104" s="16"/>
    </row>
    <row r="105" spans="1:23">
      <c r="A105" s="5" t="s">
        <v>164</v>
      </c>
      <c r="B105" s="6">
        <v>45935</v>
      </c>
      <c r="C105" s="7" t="s">
        <v>29</v>
      </c>
      <c r="D105" s="7" t="s">
        <v>41</v>
      </c>
      <c r="E105" s="8">
        <v>4792</v>
      </c>
      <c r="F105" s="9">
        <v>22673.92</v>
      </c>
      <c r="G105" s="6">
        <v>45937</v>
      </c>
      <c r="H105" s="6">
        <v>45950</v>
      </c>
      <c r="I105" s="7" t="s">
        <v>35</v>
      </c>
      <c r="J105" s="7" t="s">
        <v>44</v>
      </c>
      <c r="K105" s="7" t="s">
        <v>21</v>
      </c>
      <c r="M105" s="13">
        <f t="shared" si="5"/>
        <v>13</v>
      </c>
      <c r="N105" s="14"/>
      <c r="O105" s="15">
        <f t="shared" si="6"/>
        <v>4.73161936560935</v>
      </c>
      <c r="P105" s="16"/>
      <c r="Q105" s="14">
        <f t="shared" si="7"/>
        <v>2</v>
      </c>
      <c r="R105" s="14"/>
      <c r="S105" s="14"/>
      <c r="T105" s="13" t="str">
        <f t="shared" si="8"/>
        <v>Delayed</v>
      </c>
      <c r="U105" s="14"/>
      <c r="V105" s="13" t="str">
        <f t="shared" si="9"/>
        <v>High Quantity</v>
      </c>
      <c r="W105" s="16"/>
    </row>
    <row r="106" spans="1:23">
      <c r="A106" s="5" t="s">
        <v>165</v>
      </c>
      <c r="B106" s="6">
        <v>45648</v>
      </c>
      <c r="C106" s="7" t="s">
        <v>24</v>
      </c>
      <c r="D106" s="7" t="s">
        <v>100</v>
      </c>
      <c r="E106" s="8">
        <v>2716</v>
      </c>
      <c r="F106" s="9">
        <v>612.23</v>
      </c>
      <c r="G106" s="6">
        <v>45650</v>
      </c>
      <c r="H106" s="6">
        <v>45653</v>
      </c>
      <c r="I106" s="7" t="s">
        <v>35</v>
      </c>
      <c r="J106" s="7" t="s">
        <v>59</v>
      </c>
      <c r="K106" s="7" t="s">
        <v>27</v>
      </c>
      <c r="M106" s="13">
        <f t="shared" si="5"/>
        <v>3</v>
      </c>
      <c r="N106" s="14"/>
      <c r="O106" s="15">
        <f t="shared" si="6"/>
        <v>0.225416053019146</v>
      </c>
      <c r="P106" s="16"/>
      <c r="Q106" s="14">
        <f t="shared" si="7"/>
        <v>2</v>
      </c>
      <c r="R106" s="14"/>
      <c r="S106" s="14"/>
      <c r="T106" s="13" t="str">
        <f t="shared" si="8"/>
        <v>On-Time</v>
      </c>
      <c r="U106" s="14"/>
      <c r="V106" s="13" t="str">
        <f t="shared" si="9"/>
        <v>Low Quantity</v>
      </c>
      <c r="W106" s="16"/>
    </row>
    <row r="107" spans="1:23">
      <c r="A107" s="5" t="s">
        <v>166</v>
      </c>
      <c r="B107" s="6">
        <v>45544</v>
      </c>
      <c r="C107" s="7" t="s">
        <v>76</v>
      </c>
      <c r="D107" s="7" t="s">
        <v>18</v>
      </c>
      <c r="E107" s="5">
        <v>698</v>
      </c>
      <c r="F107" s="9">
        <v>1824.36</v>
      </c>
      <c r="G107" s="6">
        <v>45545</v>
      </c>
      <c r="H107" s="6">
        <v>45555</v>
      </c>
      <c r="I107" s="7" t="s">
        <v>30</v>
      </c>
      <c r="J107" s="7" t="s">
        <v>26</v>
      </c>
      <c r="K107" s="7" t="s">
        <v>21</v>
      </c>
      <c r="M107" s="13">
        <f t="shared" si="5"/>
        <v>10</v>
      </c>
      <c r="N107" s="14"/>
      <c r="O107" s="15">
        <f t="shared" si="6"/>
        <v>2.61369627507163</v>
      </c>
      <c r="P107" s="16"/>
      <c r="Q107" s="14">
        <f t="shared" si="7"/>
        <v>1</v>
      </c>
      <c r="R107" s="14"/>
      <c r="S107" s="14"/>
      <c r="T107" s="13" t="str">
        <f t="shared" si="8"/>
        <v>Delayed</v>
      </c>
      <c r="U107" s="14"/>
      <c r="V107" s="13" t="str">
        <f t="shared" si="9"/>
        <v>Low Quantity</v>
      </c>
      <c r="W107" s="16"/>
    </row>
    <row r="108" spans="1:23">
      <c r="A108" s="5" t="s">
        <v>167</v>
      </c>
      <c r="B108" s="6">
        <v>45610</v>
      </c>
      <c r="C108" s="7" t="s">
        <v>33</v>
      </c>
      <c r="D108" s="7" t="s">
        <v>81</v>
      </c>
      <c r="E108" s="8">
        <v>4062</v>
      </c>
      <c r="F108" s="9">
        <v>2434.08</v>
      </c>
      <c r="G108" s="6">
        <v>45613</v>
      </c>
      <c r="H108" s="6">
        <v>45617</v>
      </c>
      <c r="I108" s="7" t="s">
        <v>49</v>
      </c>
      <c r="J108" s="7" t="s">
        <v>26</v>
      </c>
      <c r="K108" s="7" t="s">
        <v>27</v>
      </c>
      <c r="M108" s="13">
        <f t="shared" si="5"/>
        <v>4</v>
      </c>
      <c r="N108" s="14"/>
      <c r="O108" s="15">
        <f t="shared" si="6"/>
        <v>0.599231905465288</v>
      </c>
      <c r="P108" s="16"/>
      <c r="Q108" s="14">
        <f t="shared" si="7"/>
        <v>3</v>
      </c>
      <c r="R108" s="14"/>
      <c r="S108" s="14"/>
      <c r="T108" s="13" t="str">
        <f t="shared" si="8"/>
        <v>On-Time</v>
      </c>
      <c r="U108" s="14"/>
      <c r="V108" s="13" t="str">
        <f t="shared" si="9"/>
        <v>High Quantity</v>
      </c>
      <c r="W108" s="16"/>
    </row>
    <row r="109" spans="1:23">
      <c r="A109" s="5" t="s">
        <v>168</v>
      </c>
      <c r="B109" s="6">
        <v>45512</v>
      </c>
      <c r="C109" s="7" t="s">
        <v>56</v>
      </c>
      <c r="D109" s="7" t="s">
        <v>77</v>
      </c>
      <c r="E109" s="8">
        <v>1348</v>
      </c>
      <c r="F109" s="9">
        <v>435.67</v>
      </c>
      <c r="G109" s="6">
        <v>45515</v>
      </c>
      <c r="H109" s="6">
        <v>45517</v>
      </c>
      <c r="I109" s="7" t="s">
        <v>30</v>
      </c>
      <c r="J109" s="7" t="s">
        <v>26</v>
      </c>
      <c r="K109" s="7" t="s">
        <v>27</v>
      </c>
      <c r="M109" s="13">
        <f t="shared" si="5"/>
        <v>2</v>
      </c>
      <c r="N109" s="14"/>
      <c r="O109" s="15">
        <f t="shared" si="6"/>
        <v>0.323197329376855</v>
      </c>
      <c r="P109" s="16"/>
      <c r="Q109" s="14">
        <f t="shared" si="7"/>
        <v>3</v>
      </c>
      <c r="R109" s="14"/>
      <c r="S109" s="14"/>
      <c r="T109" s="13" t="str">
        <f t="shared" si="8"/>
        <v>On-Time</v>
      </c>
      <c r="U109" s="14"/>
      <c r="V109" s="13" t="str">
        <f t="shared" si="9"/>
        <v>Low Quantity</v>
      </c>
      <c r="W109" s="16"/>
    </row>
    <row r="110" spans="1:23">
      <c r="A110" s="5" t="s">
        <v>169</v>
      </c>
      <c r="B110" s="6">
        <v>45516</v>
      </c>
      <c r="C110" s="7" t="s">
        <v>29</v>
      </c>
      <c r="D110" s="7" t="s">
        <v>81</v>
      </c>
      <c r="E110" s="8">
        <v>2785</v>
      </c>
      <c r="F110" s="9">
        <v>2497.51</v>
      </c>
      <c r="G110" s="6">
        <v>45518</v>
      </c>
      <c r="H110" s="6">
        <v>45541</v>
      </c>
      <c r="I110" s="7" t="s">
        <v>30</v>
      </c>
      <c r="J110" s="7" t="s">
        <v>20</v>
      </c>
      <c r="K110" s="7" t="s">
        <v>27</v>
      </c>
      <c r="M110" s="13">
        <f t="shared" si="5"/>
        <v>23</v>
      </c>
      <c r="N110" s="14"/>
      <c r="O110" s="15">
        <f t="shared" si="6"/>
        <v>0.896771992818671</v>
      </c>
      <c r="P110" s="16"/>
      <c r="Q110" s="14">
        <f t="shared" si="7"/>
        <v>2</v>
      </c>
      <c r="R110" s="14"/>
      <c r="S110" s="14"/>
      <c r="T110" s="13" t="str">
        <f t="shared" si="8"/>
        <v>On-Time</v>
      </c>
      <c r="U110" s="14"/>
      <c r="V110" s="13" t="str">
        <f t="shared" si="9"/>
        <v>Low Quantity</v>
      </c>
      <c r="W110" s="16"/>
    </row>
    <row r="111" spans="1:23">
      <c r="A111" s="5" t="s">
        <v>170</v>
      </c>
      <c r="B111" s="6">
        <v>45388</v>
      </c>
      <c r="C111" s="7" t="s">
        <v>92</v>
      </c>
      <c r="D111" s="7" t="s">
        <v>39</v>
      </c>
      <c r="E111" s="8">
        <v>1447</v>
      </c>
      <c r="F111" s="9">
        <v>7775.95</v>
      </c>
      <c r="G111" s="6">
        <v>45390</v>
      </c>
      <c r="H111" s="6">
        <v>45393</v>
      </c>
      <c r="I111" s="7" t="s">
        <v>30</v>
      </c>
      <c r="J111" s="7" t="s">
        <v>26</v>
      </c>
      <c r="K111" s="7" t="s">
        <v>27</v>
      </c>
      <c r="M111" s="13">
        <f t="shared" si="5"/>
        <v>3</v>
      </c>
      <c r="N111" s="14"/>
      <c r="O111" s="15">
        <f t="shared" si="6"/>
        <v>5.37384243261921</v>
      </c>
      <c r="P111" s="16"/>
      <c r="Q111" s="14">
        <f t="shared" si="7"/>
        <v>2</v>
      </c>
      <c r="R111" s="14"/>
      <c r="S111" s="14"/>
      <c r="T111" s="13" t="str">
        <f t="shared" si="8"/>
        <v>On-Time</v>
      </c>
      <c r="U111" s="14"/>
      <c r="V111" s="13" t="str">
        <f t="shared" si="9"/>
        <v>Low Quantity</v>
      </c>
      <c r="W111" s="16"/>
    </row>
    <row r="112" spans="1:23">
      <c r="A112" s="5" t="s">
        <v>171</v>
      </c>
      <c r="B112" s="6">
        <v>45383</v>
      </c>
      <c r="C112" s="7" t="s">
        <v>92</v>
      </c>
      <c r="D112" s="7" t="s">
        <v>100</v>
      </c>
      <c r="E112" s="8">
        <v>1583</v>
      </c>
      <c r="F112" s="9">
        <v>4272.7</v>
      </c>
      <c r="G112" s="6">
        <v>45386</v>
      </c>
      <c r="H112" s="6">
        <v>45390</v>
      </c>
      <c r="I112" s="7" t="s">
        <v>30</v>
      </c>
      <c r="J112" s="7" t="s">
        <v>26</v>
      </c>
      <c r="K112" s="7" t="s">
        <v>27</v>
      </c>
      <c r="M112" s="13">
        <f t="shared" si="5"/>
        <v>4</v>
      </c>
      <c r="N112" s="14"/>
      <c r="O112" s="15">
        <f t="shared" si="6"/>
        <v>2.6991156032849</v>
      </c>
      <c r="P112" s="16"/>
      <c r="Q112" s="14">
        <f t="shared" si="7"/>
        <v>3</v>
      </c>
      <c r="R112" s="14"/>
      <c r="S112" s="14"/>
      <c r="T112" s="13" t="str">
        <f t="shared" si="8"/>
        <v>On-Time</v>
      </c>
      <c r="U112" s="14"/>
      <c r="V112" s="13" t="str">
        <f t="shared" si="9"/>
        <v>Low Quantity</v>
      </c>
      <c r="W112" s="16"/>
    </row>
    <row r="113" spans="1:23">
      <c r="A113" s="5" t="s">
        <v>172</v>
      </c>
      <c r="B113" s="6">
        <v>45427</v>
      </c>
      <c r="C113" s="7" t="s">
        <v>24</v>
      </c>
      <c r="D113" s="7" t="s">
        <v>18</v>
      </c>
      <c r="E113" s="8">
        <v>3003</v>
      </c>
      <c r="F113" s="9">
        <v>5169.58</v>
      </c>
      <c r="G113" s="6">
        <v>45429</v>
      </c>
      <c r="H113" s="6">
        <v>45439</v>
      </c>
      <c r="I113" s="7" t="s">
        <v>49</v>
      </c>
      <c r="J113" s="7" t="s">
        <v>26</v>
      </c>
      <c r="K113" s="7" t="s">
        <v>21</v>
      </c>
      <c r="M113" s="13">
        <f t="shared" si="5"/>
        <v>10</v>
      </c>
      <c r="N113" s="14"/>
      <c r="O113" s="15">
        <f t="shared" si="6"/>
        <v>1.72147186147186</v>
      </c>
      <c r="P113" s="16"/>
      <c r="Q113" s="14">
        <f t="shared" si="7"/>
        <v>2</v>
      </c>
      <c r="R113" s="14"/>
      <c r="S113" s="14"/>
      <c r="T113" s="13" t="str">
        <f t="shared" si="8"/>
        <v>Delayed</v>
      </c>
      <c r="U113" s="14"/>
      <c r="V113" s="13" t="str">
        <f t="shared" si="9"/>
        <v>High Quantity</v>
      </c>
      <c r="W113" s="16"/>
    </row>
    <row r="114" spans="1:23">
      <c r="A114" s="5" t="s">
        <v>173</v>
      </c>
      <c r="B114" s="6">
        <v>46016</v>
      </c>
      <c r="C114" s="7" t="s">
        <v>56</v>
      </c>
      <c r="D114" s="7" t="s">
        <v>39</v>
      </c>
      <c r="E114" s="8">
        <v>2156</v>
      </c>
      <c r="F114" s="9">
        <v>17275.12</v>
      </c>
      <c r="G114" s="6">
        <v>46019</v>
      </c>
      <c r="H114" s="6">
        <v>46024</v>
      </c>
      <c r="I114" s="7" t="s">
        <v>35</v>
      </c>
      <c r="J114" s="7" t="s">
        <v>26</v>
      </c>
      <c r="K114" s="7" t="s">
        <v>27</v>
      </c>
      <c r="M114" s="13">
        <f t="shared" si="5"/>
        <v>5</v>
      </c>
      <c r="N114" s="14"/>
      <c r="O114" s="15">
        <f t="shared" si="6"/>
        <v>8.01257884972171</v>
      </c>
      <c r="P114" s="16"/>
      <c r="Q114" s="14">
        <f t="shared" si="7"/>
        <v>3</v>
      </c>
      <c r="R114" s="14"/>
      <c r="S114" s="14"/>
      <c r="T114" s="13" t="str">
        <f t="shared" si="8"/>
        <v>On-Time</v>
      </c>
      <c r="U114" s="14"/>
      <c r="V114" s="13" t="str">
        <f t="shared" si="9"/>
        <v>Low Quantity</v>
      </c>
      <c r="W114" s="16"/>
    </row>
    <row r="115" spans="1:23">
      <c r="A115" s="5" t="s">
        <v>174</v>
      </c>
      <c r="B115" s="6">
        <v>45468</v>
      </c>
      <c r="C115" s="7" t="s">
        <v>58</v>
      </c>
      <c r="D115" s="7" t="s">
        <v>18</v>
      </c>
      <c r="E115" s="5">
        <v>847</v>
      </c>
      <c r="F115" s="9">
        <v>3018.67</v>
      </c>
      <c r="G115" s="6">
        <v>45469</v>
      </c>
      <c r="H115" s="6">
        <v>45475</v>
      </c>
      <c r="I115" s="7" t="s">
        <v>30</v>
      </c>
      <c r="J115" s="7" t="s">
        <v>26</v>
      </c>
      <c r="K115" s="7" t="s">
        <v>27</v>
      </c>
      <c r="M115" s="13">
        <f t="shared" si="5"/>
        <v>6</v>
      </c>
      <c r="N115" s="14"/>
      <c r="O115" s="15">
        <f t="shared" si="6"/>
        <v>3.56395513577332</v>
      </c>
      <c r="P115" s="16"/>
      <c r="Q115" s="14">
        <f t="shared" si="7"/>
        <v>1</v>
      </c>
      <c r="R115" s="14"/>
      <c r="S115" s="14"/>
      <c r="T115" s="13" t="str">
        <f t="shared" si="8"/>
        <v>On-Time</v>
      </c>
      <c r="U115" s="14"/>
      <c r="V115" s="13" t="str">
        <f t="shared" si="9"/>
        <v>Low Quantity</v>
      </c>
      <c r="W115" s="16"/>
    </row>
    <row r="116" spans="1:23">
      <c r="A116" s="5" t="s">
        <v>175</v>
      </c>
      <c r="B116" s="6">
        <v>45880</v>
      </c>
      <c r="C116" s="7" t="s">
        <v>65</v>
      </c>
      <c r="D116" s="7" t="s">
        <v>77</v>
      </c>
      <c r="E116" s="8">
        <v>2186</v>
      </c>
      <c r="F116" s="9">
        <v>4395.49</v>
      </c>
      <c r="G116" s="6">
        <v>45882</v>
      </c>
      <c r="H116" s="6">
        <v>45888</v>
      </c>
      <c r="I116" s="7" t="s">
        <v>35</v>
      </c>
      <c r="J116" s="7" t="s">
        <v>26</v>
      </c>
      <c r="K116" s="7" t="s">
        <v>27</v>
      </c>
      <c r="M116" s="13">
        <f t="shared" si="5"/>
        <v>6</v>
      </c>
      <c r="N116" s="14"/>
      <c r="O116" s="15">
        <f t="shared" si="6"/>
        <v>2.01074565416285</v>
      </c>
      <c r="P116" s="16"/>
      <c r="Q116" s="14">
        <f t="shared" si="7"/>
        <v>2</v>
      </c>
      <c r="R116" s="14"/>
      <c r="S116" s="14"/>
      <c r="T116" s="13" t="str">
        <f t="shared" si="8"/>
        <v>On-Time</v>
      </c>
      <c r="U116" s="14"/>
      <c r="V116" s="13" t="str">
        <f t="shared" si="9"/>
        <v>Low Quantity</v>
      </c>
      <c r="W116" s="16"/>
    </row>
    <row r="117" spans="1:23">
      <c r="A117" s="5" t="s">
        <v>176</v>
      </c>
      <c r="B117" s="6">
        <v>45323</v>
      </c>
      <c r="C117" s="7" t="s">
        <v>38</v>
      </c>
      <c r="D117" s="7" t="s">
        <v>41</v>
      </c>
      <c r="E117" s="8">
        <v>4989</v>
      </c>
      <c r="F117" s="9">
        <v>9809.52</v>
      </c>
      <c r="G117" s="6">
        <v>45324</v>
      </c>
      <c r="H117" s="6">
        <v>45334</v>
      </c>
      <c r="I117" s="7" t="s">
        <v>35</v>
      </c>
      <c r="J117" s="7" t="s">
        <v>26</v>
      </c>
      <c r="K117" s="7" t="s">
        <v>21</v>
      </c>
      <c r="M117" s="13">
        <f t="shared" si="5"/>
        <v>10</v>
      </c>
      <c r="N117" s="14"/>
      <c r="O117" s="15">
        <f t="shared" si="6"/>
        <v>1.96622970535177</v>
      </c>
      <c r="P117" s="16"/>
      <c r="Q117" s="14">
        <f t="shared" si="7"/>
        <v>1</v>
      </c>
      <c r="R117" s="14"/>
      <c r="S117" s="14"/>
      <c r="T117" s="13" t="str">
        <f t="shared" si="8"/>
        <v>Delayed</v>
      </c>
      <c r="U117" s="14"/>
      <c r="V117" s="13" t="str">
        <f t="shared" si="9"/>
        <v>High Quantity</v>
      </c>
      <c r="W117" s="16"/>
    </row>
    <row r="118" spans="1:23">
      <c r="A118" s="5" t="s">
        <v>177</v>
      </c>
      <c r="B118" s="6">
        <v>45317</v>
      </c>
      <c r="C118" s="7" t="s">
        <v>29</v>
      </c>
      <c r="D118" s="7" t="s">
        <v>18</v>
      </c>
      <c r="E118" s="5">
        <v>820</v>
      </c>
      <c r="F118" s="9">
        <v>4936.63</v>
      </c>
      <c r="G118" s="6">
        <v>45320</v>
      </c>
      <c r="H118" s="6">
        <v>45353</v>
      </c>
      <c r="I118" s="7" t="s">
        <v>19</v>
      </c>
      <c r="J118" s="7" t="s">
        <v>20</v>
      </c>
      <c r="K118" s="7" t="s">
        <v>21</v>
      </c>
      <c r="M118" s="13">
        <f t="shared" si="5"/>
        <v>33</v>
      </c>
      <c r="N118" s="14"/>
      <c r="O118" s="15">
        <f t="shared" si="6"/>
        <v>6.02028048780488</v>
      </c>
      <c r="P118" s="16"/>
      <c r="Q118" s="14">
        <f t="shared" si="7"/>
        <v>3</v>
      </c>
      <c r="R118" s="14"/>
      <c r="S118" s="14"/>
      <c r="T118" s="13" t="str">
        <f t="shared" si="8"/>
        <v>Delayed</v>
      </c>
      <c r="U118" s="14"/>
      <c r="V118" s="13" t="str">
        <f t="shared" si="9"/>
        <v>Low Quantity</v>
      </c>
      <c r="W118" s="16"/>
    </row>
    <row r="119" spans="1:23">
      <c r="A119" s="5" t="s">
        <v>178</v>
      </c>
      <c r="B119" s="6">
        <v>45528</v>
      </c>
      <c r="C119" s="7" t="s">
        <v>58</v>
      </c>
      <c r="D119" s="7" t="s">
        <v>51</v>
      </c>
      <c r="E119" s="5">
        <v>344</v>
      </c>
      <c r="F119" s="9">
        <v>5465.45</v>
      </c>
      <c r="G119" s="6">
        <v>45531</v>
      </c>
      <c r="H119" s="6">
        <v>45552</v>
      </c>
      <c r="I119" s="7" t="s">
        <v>19</v>
      </c>
      <c r="J119" s="7" t="s">
        <v>20</v>
      </c>
      <c r="K119" s="7" t="s">
        <v>27</v>
      </c>
      <c r="M119" s="13">
        <f t="shared" si="5"/>
        <v>21</v>
      </c>
      <c r="N119" s="14"/>
      <c r="O119" s="15">
        <f t="shared" si="6"/>
        <v>15.8879360465116</v>
      </c>
      <c r="P119" s="16"/>
      <c r="Q119" s="14">
        <f t="shared" si="7"/>
        <v>3</v>
      </c>
      <c r="R119" s="14"/>
      <c r="S119" s="14"/>
      <c r="T119" s="13" t="str">
        <f t="shared" si="8"/>
        <v>On-Time</v>
      </c>
      <c r="U119" s="14"/>
      <c r="V119" s="13" t="str">
        <f t="shared" si="9"/>
        <v>Low Quantity</v>
      </c>
      <c r="W119" s="16"/>
    </row>
    <row r="120" spans="1:23">
      <c r="A120" s="5" t="s">
        <v>179</v>
      </c>
      <c r="B120" s="6">
        <v>45880</v>
      </c>
      <c r="C120" s="7" t="s">
        <v>17</v>
      </c>
      <c r="D120" s="7" t="s">
        <v>51</v>
      </c>
      <c r="E120" s="8">
        <v>3300</v>
      </c>
      <c r="F120" s="9">
        <v>3213.92</v>
      </c>
      <c r="G120" s="6">
        <v>45882</v>
      </c>
      <c r="H120" s="6">
        <v>45885</v>
      </c>
      <c r="I120" s="7" t="s">
        <v>30</v>
      </c>
      <c r="J120" s="7" t="s">
        <v>26</v>
      </c>
      <c r="K120" s="7" t="s">
        <v>27</v>
      </c>
      <c r="M120" s="13">
        <f t="shared" si="5"/>
        <v>3</v>
      </c>
      <c r="N120" s="14"/>
      <c r="O120" s="15">
        <f t="shared" si="6"/>
        <v>0.973915151515152</v>
      </c>
      <c r="P120" s="16"/>
      <c r="Q120" s="14">
        <f t="shared" si="7"/>
        <v>2</v>
      </c>
      <c r="R120" s="14"/>
      <c r="S120" s="14"/>
      <c r="T120" s="13" t="str">
        <f t="shared" si="8"/>
        <v>On-Time</v>
      </c>
      <c r="U120" s="14"/>
      <c r="V120" s="13" t="str">
        <f t="shared" si="9"/>
        <v>High Quantity</v>
      </c>
      <c r="W120" s="16"/>
    </row>
    <row r="121" spans="1:23">
      <c r="A121" s="5" t="s">
        <v>180</v>
      </c>
      <c r="B121" s="6">
        <v>45963</v>
      </c>
      <c r="C121" s="7" t="s">
        <v>24</v>
      </c>
      <c r="D121" s="7" t="s">
        <v>25</v>
      </c>
      <c r="E121" s="8">
        <v>4902</v>
      </c>
      <c r="F121" s="9">
        <v>955.45</v>
      </c>
      <c r="G121" s="6">
        <v>45964</v>
      </c>
      <c r="H121" s="6">
        <v>45989</v>
      </c>
      <c r="I121" s="7" t="s">
        <v>35</v>
      </c>
      <c r="J121" s="7" t="s">
        <v>20</v>
      </c>
      <c r="K121" s="7" t="s">
        <v>27</v>
      </c>
      <c r="M121" s="13">
        <f t="shared" si="5"/>
        <v>25</v>
      </c>
      <c r="N121" s="14"/>
      <c r="O121" s="15">
        <f t="shared" si="6"/>
        <v>0.194910240718074</v>
      </c>
      <c r="P121" s="16"/>
      <c r="Q121" s="14">
        <f t="shared" si="7"/>
        <v>1</v>
      </c>
      <c r="R121" s="14"/>
      <c r="S121" s="14"/>
      <c r="T121" s="13" t="str">
        <f t="shared" si="8"/>
        <v>On-Time</v>
      </c>
      <c r="U121" s="14"/>
      <c r="V121" s="13" t="str">
        <f t="shared" si="9"/>
        <v>High Quantity</v>
      </c>
      <c r="W121" s="16"/>
    </row>
    <row r="122" spans="1:23">
      <c r="A122" s="5" t="s">
        <v>181</v>
      </c>
      <c r="B122" s="6">
        <v>45537</v>
      </c>
      <c r="C122" s="7" t="s">
        <v>56</v>
      </c>
      <c r="D122" s="7" t="s">
        <v>34</v>
      </c>
      <c r="E122" s="8">
        <v>3890</v>
      </c>
      <c r="F122" s="9">
        <v>40379.57</v>
      </c>
      <c r="G122" s="6">
        <v>45540</v>
      </c>
      <c r="H122" s="6">
        <v>45553</v>
      </c>
      <c r="I122" s="7" t="s">
        <v>30</v>
      </c>
      <c r="J122" s="7" t="s">
        <v>44</v>
      </c>
      <c r="K122" s="7" t="s">
        <v>21</v>
      </c>
      <c r="M122" s="13">
        <f t="shared" si="5"/>
        <v>13</v>
      </c>
      <c r="N122" s="14"/>
      <c r="O122" s="15">
        <f t="shared" si="6"/>
        <v>10.38035218509</v>
      </c>
      <c r="P122" s="16"/>
      <c r="Q122" s="14">
        <f t="shared" si="7"/>
        <v>3</v>
      </c>
      <c r="R122" s="14"/>
      <c r="S122" s="14"/>
      <c r="T122" s="13" t="str">
        <f t="shared" si="8"/>
        <v>Delayed</v>
      </c>
      <c r="U122" s="14"/>
      <c r="V122" s="13" t="str">
        <f t="shared" si="9"/>
        <v>High Quantity</v>
      </c>
      <c r="W122" s="16"/>
    </row>
    <row r="123" spans="1:23">
      <c r="A123" s="5" t="s">
        <v>182</v>
      </c>
      <c r="B123" s="6">
        <v>46003</v>
      </c>
      <c r="C123" s="7" t="s">
        <v>24</v>
      </c>
      <c r="D123" s="7" t="s">
        <v>18</v>
      </c>
      <c r="E123" s="8">
        <v>4255</v>
      </c>
      <c r="F123" s="9">
        <v>1928.2</v>
      </c>
      <c r="G123" s="6">
        <v>46004</v>
      </c>
      <c r="H123" s="6">
        <v>46006</v>
      </c>
      <c r="I123" s="7" t="s">
        <v>35</v>
      </c>
      <c r="J123" s="7" t="s">
        <v>26</v>
      </c>
      <c r="K123" s="7" t="s">
        <v>27</v>
      </c>
      <c r="M123" s="13">
        <f t="shared" si="5"/>
        <v>2</v>
      </c>
      <c r="N123" s="14"/>
      <c r="O123" s="15">
        <f t="shared" si="6"/>
        <v>0.453160987074031</v>
      </c>
      <c r="P123" s="16"/>
      <c r="Q123" s="14">
        <f t="shared" si="7"/>
        <v>1</v>
      </c>
      <c r="R123" s="14"/>
      <c r="S123" s="14"/>
      <c r="T123" s="13" t="str">
        <f t="shared" si="8"/>
        <v>On-Time</v>
      </c>
      <c r="U123" s="14"/>
      <c r="V123" s="13" t="str">
        <f t="shared" si="9"/>
        <v>High Quantity</v>
      </c>
      <c r="W123" s="16"/>
    </row>
    <row r="124" spans="1:23">
      <c r="A124" s="5" t="s">
        <v>183</v>
      </c>
      <c r="B124" s="6">
        <v>45853</v>
      </c>
      <c r="C124" s="7" t="s">
        <v>76</v>
      </c>
      <c r="D124" s="7" t="s">
        <v>39</v>
      </c>
      <c r="E124" s="8">
        <v>3493</v>
      </c>
      <c r="F124" s="9">
        <v>13818.29</v>
      </c>
      <c r="G124" s="6">
        <v>45856</v>
      </c>
      <c r="H124" s="6">
        <v>45861</v>
      </c>
      <c r="I124" s="7" t="s">
        <v>19</v>
      </c>
      <c r="J124" s="7" t="s">
        <v>59</v>
      </c>
      <c r="K124" s="7" t="s">
        <v>27</v>
      </c>
      <c r="M124" s="13">
        <f t="shared" si="5"/>
        <v>5</v>
      </c>
      <c r="N124" s="14"/>
      <c r="O124" s="15">
        <f t="shared" si="6"/>
        <v>3.95599484683653</v>
      </c>
      <c r="P124" s="16"/>
      <c r="Q124" s="14">
        <f t="shared" si="7"/>
        <v>3</v>
      </c>
      <c r="R124" s="14"/>
      <c r="S124" s="14"/>
      <c r="T124" s="13" t="str">
        <f t="shared" si="8"/>
        <v>On-Time</v>
      </c>
      <c r="U124" s="14"/>
      <c r="V124" s="13" t="str">
        <f t="shared" si="9"/>
        <v>High Quantity</v>
      </c>
      <c r="W124" s="16"/>
    </row>
    <row r="125" spans="1:23">
      <c r="A125" s="5" t="s">
        <v>184</v>
      </c>
      <c r="B125" s="6">
        <v>46007</v>
      </c>
      <c r="C125" s="7" t="s">
        <v>65</v>
      </c>
      <c r="D125" s="7" t="s">
        <v>100</v>
      </c>
      <c r="E125" s="8">
        <v>1275</v>
      </c>
      <c r="F125" s="9">
        <v>4106.39</v>
      </c>
      <c r="G125" s="6">
        <v>46009</v>
      </c>
      <c r="H125" s="6">
        <v>46024</v>
      </c>
      <c r="I125" s="7" t="s">
        <v>19</v>
      </c>
      <c r="J125" s="7" t="s">
        <v>44</v>
      </c>
      <c r="K125" s="7" t="s">
        <v>21</v>
      </c>
      <c r="M125" s="13">
        <f t="shared" si="5"/>
        <v>15</v>
      </c>
      <c r="N125" s="14"/>
      <c r="O125" s="15">
        <f t="shared" si="6"/>
        <v>3.22069803921569</v>
      </c>
      <c r="P125" s="16"/>
      <c r="Q125" s="14">
        <f t="shared" si="7"/>
        <v>2</v>
      </c>
      <c r="R125" s="14"/>
      <c r="S125" s="14"/>
      <c r="T125" s="13" t="str">
        <f t="shared" si="8"/>
        <v>Delayed</v>
      </c>
      <c r="U125" s="14"/>
      <c r="V125" s="13" t="str">
        <f t="shared" si="9"/>
        <v>Low Quantity</v>
      </c>
      <c r="W125" s="16"/>
    </row>
    <row r="126" spans="1:23">
      <c r="A126" s="5" t="s">
        <v>185</v>
      </c>
      <c r="B126" s="6">
        <v>45550</v>
      </c>
      <c r="C126" s="7" t="s">
        <v>79</v>
      </c>
      <c r="D126" s="7" t="s">
        <v>39</v>
      </c>
      <c r="E126" s="8">
        <v>3689</v>
      </c>
      <c r="F126" s="9">
        <v>7448.84</v>
      </c>
      <c r="G126" s="6">
        <v>45553</v>
      </c>
      <c r="H126" s="6">
        <v>45554</v>
      </c>
      <c r="I126" s="7" t="s">
        <v>30</v>
      </c>
      <c r="J126" s="7" t="s">
        <v>59</v>
      </c>
      <c r="K126" s="7" t="s">
        <v>27</v>
      </c>
      <c r="M126" s="13">
        <f t="shared" si="5"/>
        <v>1</v>
      </c>
      <c r="N126" s="14"/>
      <c r="O126" s="15">
        <f t="shared" si="6"/>
        <v>2.01920303605313</v>
      </c>
      <c r="P126" s="16"/>
      <c r="Q126" s="14">
        <f t="shared" si="7"/>
        <v>3</v>
      </c>
      <c r="R126" s="14"/>
      <c r="S126" s="14"/>
      <c r="T126" s="13" t="str">
        <f t="shared" si="8"/>
        <v>On-Time</v>
      </c>
      <c r="U126" s="14"/>
      <c r="V126" s="13" t="str">
        <f t="shared" si="9"/>
        <v>High Quantity</v>
      </c>
      <c r="W126" s="16"/>
    </row>
    <row r="127" spans="1:23">
      <c r="A127" s="5" t="s">
        <v>186</v>
      </c>
      <c r="B127" s="6">
        <v>45672</v>
      </c>
      <c r="C127" s="7" t="s">
        <v>24</v>
      </c>
      <c r="D127" s="7" t="s">
        <v>18</v>
      </c>
      <c r="E127" s="5">
        <v>484</v>
      </c>
      <c r="F127" s="9">
        <v>8021.28</v>
      </c>
      <c r="G127" s="6">
        <v>45674</v>
      </c>
      <c r="H127" s="6">
        <v>45676</v>
      </c>
      <c r="I127" s="7" t="s">
        <v>30</v>
      </c>
      <c r="J127" s="7" t="s">
        <v>26</v>
      </c>
      <c r="K127" s="7" t="s">
        <v>27</v>
      </c>
      <c r="M127" s="13">
        <f t="shared" si="5"/>
        <v>2</v>
      </c>
      <c r="N127" s="14"/>
      <c r="O127" s="15">
        <f t="shared" si="6"/>
        <v>16.5728925619835</v>
      </c>
      <c r="P127" s="16"/>
      <c r="Q127" s="14">
        <f t="shared" si="7"/>
        <v>2</v>
      </c>
      <c r="R127" s="14"/>
      <c r="S127" s="14"/>
      <c r="T127" s="13" t="str">
        <f t="shared" si="8"/>
        <v>On-Time</v>
      </c>
      <c r="U127" s="14"/>
      <c r="V127" s="13" t="str">
        <f t="shared" si="9"/>
        <v>Low Quantity</v>
      </c>
      <c r="W127" s="16"/>
    </row>
    <row r="128" spans="1:23">
      <c r="A128" s="5" t="s">
        <v>187</v>
      </c>
      <c r="B128" s="6">
        <v>45684</v>
      </c>
      <c r="C128" s="7" t="s">
        <v>79</v>
      </c>
      <c r="D128" s="7" t="s">
        <v>18</v>
      </c>
      <c r="E128" s="8">
        <v>3426</v>
      </c>
      <c r="F128" s="9">
        <v>2232.45</v>
      </c>
      <c r="G128" s="6">
        <v>45686</v>
      </c>
      <c r="H128" s="6">
        <v>45695</v>
      </c>
      <c r="I128" s="7" t="s">
        <v>49</v>
      </c>
      <c r="J128" s="7" t="s">
        <v>44</v>
      </c>
      <c r="K128" s="7" t="s">
        <v>27</v>
      </c>
      <c r="M128" s="13">
        <f t="shared" si="5"/>
        <v>9</v>
      </c>
      <c r="N128" s="14"/>
      <c r="O128" s="15">
        <f t="shared" si="6"/>
        <v>0.65161996497373</v>
      </c>
      <c r="P128" s="16"/>
      <c r="Q128" s="14">
        <f t="shared" si="7"/>
        <v>2</v>
      </c>
      <c r="R128" s="14"/>
      <c r="S128" s="14"/>
      <c r="T128" s="13" t="str">
        <f t="shared" si="8"/>
        <v>On-Time</v>
      </c>
      <c r="U128" s="14"/>
      <c r="V128" s="13" t="str">
        <f t="shared" si="9"/>
        <v>High Quantity</v>
      </c>
      <c r="W128" s="16"/>
    </row>
    <row r="129" spans="1:23">
      <c r="A129" s="5" t="s">
        <v>188</v>
      </c>
      <c r="B129" s="6">
        <v>45412</v>
      </c>
      <c r="C129" s="7" t="s">
        <v>79</v>
      </c>
      <c r="D129" s="7" t="s">
        <v>100</v>
      </c>
      <c r="E129" s="8">
        <v>4819</v>
      </c>
      <c r="F129" s="9">
        <v>3186.37</v>
      </c>
      <c r="G129" s="6">
        <v>45415</v>
      </c>
      <c r="H129" s="6">
        <v>45417</v>
      </c>
      <c r="I129" s="7" t="s">
        <v>49</v>
      </c>
      <c r="J129" s="7" t="s">
        <v>59</v>
      </c>
      <c r="K129" s="7" t="s">
        <v>27</v>
      </c>
      <c r="M129" s="13">
        <f t="shared" si="5"/>
        <v>2</v>
      </c>
      <c r="N129" s="14"/>
      <c r="O129" s="15">
        <f t="shared" si="6"/>
        <v>0.661209794563187</v>
      </c>
      <c r="P129" s="16"/>
      <c r="Q129" s="14">
        <f t="shared" si="7"/>
        <v>3</v>
      </c>
      <c r="R129" s="14"/>
      <c r="S129" s="14"/>
      <c r="T129" s="13" t="str">
        <f t="shared" si="8"/>
        <v>On-Time</v>
      </c>
      <c r="U129" s="14"/>
      <c r="V129" s="13" t="str">
        <f t="shared" si="9"/>
        <v>High Quantity</v>
      </c>
      <c r="W129" s="16"/>
    </row>
    <row r="130" spans="1:23">
      <c r="A130" s="5" t="s">
        <v>189</v>
      </c>
      <c r="B130" s="6">
        <v>45765</v>
      </c>
      <c r="C130" s="7" t="s">
        <v>24</v>
      </c>
      <c r="D130" s="7" t="s">
        <v>41</v>
      </c>
      <c r="E130" s="8">
        <v>2634</v>
      </c>
      <c r="F130" s="9">
        <v>20781.72</v>
      </c>
      <c r="G130" s="6">
        <v>45766</v>
      </c>
      <c r="H130" s="6">
        <v>45768</v>
      </c>
      <c r="I130" s="7" t="s">
        <v>19</v>
      </c>
      <c r="J130" s="7" t="s">
        <v>59</v>
      </c>
      <c r="K130" s="7" t="s">
        <v>27</v>
      </c>
      <c r="M130" s="13">
        <f t="shared" si="5"/>
        <v>2</v>
      </c>
      <c r="N130" s="14"/>
      <c r="O130" s="15">
        <f t="shared" si="6"/>
        <v>7.88979498861048</v>
      </c>
      <c r="P130" s="16"/>
      <c r="Q130" s="14">
        <f t="shared" si="7"/>
        <v>1</v>
      </c>
      <c r="R130" s="14"/>
      <c r="S130" s="14"/>
      <c r="T130" s="13" t="str">
        <f t="shared" si="8"/>
        <v>On-Time</v>
      </c>
      <c r="U130" s="14"/>
      <c r="V130" s="13" t="str">
        <f t="shared" si="9"/>
        <v>Low Quantity</v>
      </c>
      <c r="W130" s="16"/>
    </row>
    <row r="131" spans="1:23">
      <c r="A131" s="5" t="s">
        <v>190</v>
      </c>
      <c r="B131" s="6">
        <v>45296</v>
      </c>
      <c r="C131" s="7" t="s">
        <v>24</v>
      </c>
      <c r="D131" s="7" t="s">
        <v>25</v>
      </c>
      <c r="E131" s="8">
        <v>2786</v>
      </c>
      <c r="F131" s="9">
        <v>1718.05</v>
      </c>
      <c r="G131" s="6">
        <v>45297</v>
      </c>
      <c r="H131" s="6">
        <v>45300</v>
      </c>
      <c r="I131" s="7" t="s">
        <v>30</v>
      </c>
      <c r="J131" s="7" t="s">
        <v>26</v>
      </c>
      <c r="K131" s="7" t="s">
        <v>27</v>
      </c>
      <c r="M131" s="13">
        <f t="shared" ref="M131:M194" si="10">H131-G131</f>
        <v>3</v>
      </c>
      <c r="N131" s="14"/>
      <c r="O131" s="15">
        <f t="shared" ref="O131:O194" si="11">F131/E131</f>
        <v>0.616672648959081</v>
      </c>
      <c r="P131" s="16"/>
      <c r="Q131" s="14">
        <f t="shared" ref="Q131:Q194" si="12">G131-B131</f>
        <v>1</v>
      </c>
      <c r="R131" s="14"/>
      <c r="S131" s="14"/>
      <c r="T131" s="13" t="str">
        <f t="shared" ref="T131:T194" si="13">IF(K131="Yes","On-Time","Delayed")</f>
        <v>On-Time</v>
      </c>
      <c r="U131" s="14"/>
      <c r="V131" s="13" t="str">
        <f t="shared" ref="V131:V194" si="14">IF(E131&gt;=3000,"High Quantity","Low Quantity")</f>
        <v>Low Quantity</v>
      </c>
      <c r="W131" s="16"/>
    </row>
    <row r="132" spans="1:23">
      <c r="A132" s="5" t="s">
        <v>191</v>
      </c>
      <c r="B132" s="6">
        <v>45613</v>
      </c>
      <c r="C132" s="7" t="s">
        <v>38</v>
      </c>
      <c r="D132" s="7" t="s">
        <v>18</v>
      </c>
      <c r="E132" s="5">
        <v>245</v>
      </c>
      <c r="F132" s="9">
        <v>5867.02</v>
      </c>
      <c r="G132" s="6">
        <v>45615</v>
      </c>
      <c r="H132" s="6">
        <v>45621</v>
      </c>
      <c r="I132" s="7" t="s">
        <v>30</v>
      </c>
      <c r="J132" s="7" t="s">
        <v>26</v>
      </c>
      <c r="K132" s="7" t="s">
        <v>27</v>
      </c>
      <c r="M132" s="13">
        <f t="shared" si="10"/>
        <v>6</v>
      </c>
      <c r="N132" s="14"/>
      <c r="O132" s="15">
        <f t="shared" si="11"/>
        <v>23.9470204081633</v>
      </c>
      <c r="P132" s="16"/>
      <c r="Q132" s="14">
        <f t="shared" si="12"/>
        <v>2</v>
      </c>
      <c r="R132" s="14"/>
      <c r="S132" s="14"/>
      <c r="T132" s="13" t="str">
        <f t="shared" si="13"/>
        <v>On-Time</v>
      </c>
      <c r="U132" s="14"/>
      <c r="V132" s="13" t="str">
        <f t="shared" si="14"/>
        <v>Low Quantity</v>
      </c>
      <c r="W132" s="16"/>
    </row>
    <row r="133" spans="1:23">
      <c r="A133" s="5" t="s">
        <v>192</v>
      </c>
      <c r="B133" s="6">
        <v>45292</v>
      </c>
      <c r="C133" s="7" t="s">
        <v>38</v>
      </c>
      <c r="D133" s="7" t="s">
        <v>100</v>
      </c>
      <c r="E133" s="5">
        <v>669</v>
      </c>
      <c r="F133" s="9">
        <v>541.36</v>
      </c>
      <c r="G133" s="6">
        <v>45294</v>
      </c>
      <c r="H133" s="6">
        <v>45301</v>
      </c>
      <c r="I133" s="7" t="s">
        <v>49</v>
      </c>
      <c r="J133" s="7" t="s">
        <v>44</v>
      </c>
      <c r="K133" s="7" t="s">
        <v>27</v>
      </c>
      <c r="M133" s="13">
        <f t="shared" si="10"/>
        <v>7</v>
      </c>
      <c r="N133" s="14"/>
      <c r="O133" s="15">
        <f t="shared" si="11"/>
        <v>0.809207772795217</v>
      </c>
      <c r="P133" s="16"/>
      <c r="Q133" s="14">
        <f t="shared" si="12"/>
        <v>2</v>
      </c>
      <c r="R133" s="14"/>
      <c r="S133" s="14"/>
      <c r="T133" s="13" t="str">
        <f t="shared" si="13"/>
        <v>On-Time</v>
      </c>
      <c r="U133" s="14"/>
      <c r="V133" s="13" t="str">
        <f t="shared" si="14"/>
        <v>Low Quantity</v>
      </c>
      <c r="W133" s="16"/>
    </row>
    <row r="134" spans="1:23">
      <c r="A134" s="5" t="s">
        <v>193</v>
      </c>
      <c r="B134" s="6">
        <v>45550</v>
      </c>
      <c r="C134" s="7" t="s">
        <v>65</v>
      </c>
      <c r="D134" s="7" t="s">
        <v>81</v>
      </c>
      <c r="E134" s="8">
        <v>1214</v>
      </c>
      <c r="F134" s="9">
        <v>2120.69</v>
      </c>
      <c r="G134" s="6">
        <v>45551</v>
      </c>
      <c r="H134" s="6">
        <v>45554</v>
      </c>
      <c r="I134" s="7" t="s">
        <v>30</v>
      </c>
      <c r="J134" s="7" t="s">
        <v>59</v>
      </c>
      <c r="K134" s="7" t="s">
        <v>27</v>
      </c>
      <c r="M134" s="13">
        <f t="shared" si="10"/>
        <v>3</v>
      </c>
      <c r="N134" s="14"/>
      <c r="O134" s="15">
        <f t="shared" si="11"/>
        <v>1.74686161449753</v>
      </c>
      <c r="P134" s="16"/>
      <c r="Q134" s="14">
        <f t="shared" si="12"/>
        <v>1</v>
      </c>
      <c r="R134" s="14"/>
      <c r="S134" s="14"/>
      <c r="T134" s="13" t="str">
        <f t="shared" si="13"/>
        <v>On-Time</v>
      </c>
      <c r="U134" s="14"/>
      <c r="V134" s="13" t="str">
        <f t="shared" si="14"/>
        <v>Low Quantity</v>
      </c>
      <c r="W134" s="16"/>
    </row>
    <row r="135" spans="1:23">
      <c r="A135" s="5" t="s">
        <v>194</v>
      </c>
      <c r="B135" s="6">
        <v>45714</v>
      </c>
      <c r="C135" s="7" t="s">
        <v>79</v>
      </c>
      <c r="D135" s="7" t="s">
        <v>100</v>
      </c>
      <c r="E135" s="8">
        <v>1165</v>
      </c>
      <c r="F135" s="9">
        <v>4767.81</v>
      </c>
      <c r="G135" s="6">
        <v>45715</v>
      </c>
      <c r="H135" s="6">
        <v>45742</v>
      </c>
      <c r="I135" s="7" t="s">
        <v>30</v>
      </c>
      <c r="J135" s="7" t="s">
        <v>20</v>
      </c>
      <c r="K135" s="7" t="s">
        <v>27</v>
      </c>
      <c r="M135" s="13">
        <f t="shared" si="10"/>
        <v>27</v>
      </c>
      <c r="N135" s="14"/>
      <c r="O135" s="15">
        <f t="shared" si="11"/>
        <v>4.09254077253219</v>
      </c>
      <c r="P135" s="16"/>
      <c r="Q135" s="14">
        <f t="shared" si="12"/>
        <v>1</v>
      </c>
      <c r="R135" s="14"/>
      <c r="S135" s="14"/>
      <c r="T135" s="13" t="str">
        <f t="shared" si="13"/>
        <v>On-Time</v>
      </c>
      <c r="U135" s="14"/>
      <c r="V135" s="13" t="str">
        <f t="shared" si="14"/>
        <v>Low Quantity</v>
      </c>
      <c r="W135" s="16"/>
    </row>
    <row r="136" spans="1:23">
      <c r="A136" s="5" t="s">
        <v>195</v>
      </c>
      <c r="B136" s="6">
        <v>45348</v>
      </c>
      <c r="C136" s="7" t="s">
        <v>38</v>
      </c>
      <c r="D136" s="7" t="s">
        <v>51</v>
      </c>
      <c r="E136" s="5">
        <v>120</v>
      </c>
      <c r="F136" s="9">
        <v>10073.49</v>
      </c>
      <c r="G136" s="6">
        <v>45351</v>
      </c>
      <c r="H136" s="6">
        <v>45354</v>
      </c>
      <c r="I136" s="7" t="s">
        <v>35</v>
      </c>
      <c r="J136" s="7" t="s">
        <v>26</v>
      </c>
      <c r="K136" s="7" t="s">
        <v>27</v>
      </c>
      <c r="M136" s="13">
        <f t="shared" si="10"/>
        <v>3</v>
      </c>
      <c r="N136" s="14"/>
      <c r="O136" s="15">
        <f t="shared" si="11"/>
        <v>83.94575</v>
      </c>
      <c r="P136" s="16"/>
      <c r="Q136" s="14">
        <f t="shared" si="12"/>
        <v>3</v>
      </c>
      <c r="R136" s="14"/>
      <c r="S136" s="14"/>
      <c r="T136" s="13" t="str">
        <f t="shared" si="13"/>
        <v>On-Time</v>
      </c>
      <c r="U136" s="14"/>
      <c r="V136" s="13" t="str">
        <f t="shared" si="14"/>
        <v>Low Quantity</v>
      </c>
      <c r="W136" s="16"/>
    </row>
    <row r="137" spans="1:23">
      <c r="A137" s="5" t="s">
        <v>196</v>
      </c>
      <c r="B137" s="6">
        <v>45925</v>
      </c>
      <c r="C137" s="7" t="s">
        <v>56</v>
      </c>
      <c r="D137" s="7" t="s">
        <v>51</v>
      </c>
      <c r="E137" s="5">
        <v>810</v>
      </c>
      <c r="F137" s="9">
        <v>12851.46</v>
      </c>
      <c r="G137" s="6">
        <v>45926</v>
      </c>
      <c r="H137" s="6">
        <v>45936</v>
      </c>
      <c r="I137" s="7" t="s">
        <v>35</v>
      </c>
      <c r="J137" s="7" t="s">
        <v>44</v>
      </c>
      <c r="K137" s="7" t="s">
        <v>27</v>
      </c>
      <c r="M137" s="13">
        <f t="shared" si="10"/>
        <v>10</v>
      </c>
      <c r="N137" s="14"/>
      <c r="O137" s="15">
        <f t="shared" si="11"/>
        <v>15.866</v>
      </c>
      <c r="P137" s="16"/>
      <c r="Q137" s="14">
        <f t="shared" si="12"/>
        <v>1</v>
      </c>
      <c r="R137" s="14"/>
      <c r="S137" s="14"/>
      <c r="T137" s="13" t="str">
        <f t="shared" si="13"/>
        <v>On-Time</v>
      </c>
      <c r="U137" s="14"/>
      <c r="V137" s="13" t="str">
        <f t="shared" si="14"/>
        <v>Low Quantity</v>
      </c>
      <c r="W137" s="16"/>
    </row>
    <row r="138" spans="1:23">
      <c r="A138" s="5" t="s">
        <v>197</v>
      </c>
      <c r="B138" s="6">
        <v>45543</v>
      </c>
      <c r="C138" s="7" t="s">
        <v>54</v>
      </c>
      <c r="D138" s="7" t="s">
        <v>25</v>
      </c>
      <c r="E138" s="8">
        <v>1357</v>
      </c>
      <c r="F138" s="9">
        <v>4143.65</v>
      </c>
      <c r="G138" s="6">
        <v>45545</v>
      </c>
      <c r="H138" s="6">
        <v>45557</v>
      </c>
      <c r="I138" s="7" t="s">
        <v>19</v>
      </c>
      <c r="J138" s="7" t="s">
        <v>44</v>
      </c>
      <c r="K138" s="7" t="s">
        <v>27</v>
      </c>
      <c r="M138" s="13">
        <f t="shared" si="10"/>
        <v>12</v>
      </c>
      <c r="N138" s="14"/>
      <c r="O138" s="15">
        <f t="shared" si="11"/>
        <v>3.05353721444363</v>
      </c>
      <c r="P138" s="16"/>
      <c r="Q138" s="14">
        <f t="shared" si="12"/>
        <v>2</v>
      </c>
      <c r="R138" s="14"/>
      <c r="S138" s="14"/>
      <c r="T138" s="13" t="str">
        <f t="shared" si="13"/>
        <v>On-Time</v>
      </c>
      <c r="U138" s="14"/>
      <c r="V138" s="13" t="str">
        <f t="shared" si="14"/>
        <v>Low Quantity</v>
      </c>
      <c r="W138" s="16"/>
    </row>
    <row r="139" spans="1:23">
      <c r="A139" s="5" t="s">
        <v>198</v>
      </c>
      <c r="B139" s="6">
        <v>45835</v>
      </c>
      <c r="C139" s="7" t="s">
        <v>38</v>
      </c>
      <c r="D139" s="7" t="s">
        <v>51</v>
      </c>
      <c r="E139" s="8">
        <v>2653</v>
      </c>
      <c r="F139" s="9">
        <v>11180.09</v>
      </c>
      <c r="G139" s="6">
        <v>45838</v>
      </c>
      <c r="H139" s="6">
        <v>45840</v>
      </c>
      <c r="I139" s="7" t="s">
        <v>30</v>
      </c>
      <c r="J139" s="7" t="s">
        <v>59</v>
      </c>
      <c r="K139" s="7" t="s">
        <v>27</v>
      </c>
      <c r="M139" s="13">
        <f t="shared" si="10"/>
        <v>2</v>
      </c>
      <c r="N139" s="14"/>
      <c r="O139" s="15">
        <f t="shared" si="11"/>
        <v>4.21413117225782</v>
      </c>
      <c r="P139" s="16"/>
      <c r="Q139" s="14">
        <f t="shared" si="12"/>
        <v>3</v>
      </c>
      <c r="R139" s="14"/>
      <c r="S139" s="14"/>
      <c r="T139" s="13" t="str">
        <f t="shared" si="13"/>
        <v>On-Time</v>
      </c>
      <c r="U139" s="14"/>
      <c r="V139" s="13" t="str">
        <f t="shared" si="14"/>
        <v>Low Quantity</v>
      </c>
      <c r="W139" s="16"/>
    </row>
    <row r="140" spans="1:23">
      <c r="A140" s="5" t="s">
        <v>199</v>
      </c>
      <c r="B140" s="6">
        <v>45326</v>
      </c>
      <c r="C140" s="7" t="s">
        <v>79</v>
      </c>
      <c r="D140" s="7" t="s">
        <v>46</v>
      </c>
      <c r="E140" s="5">
        <v>56</v>
      </c>
      <c r="F140" s="9">
        <v>3034.07</v>
      </c>
      <c r="G140" s="6">
        <v>45328</v>
      </c>
      <c r="H140" s="6">
        <v>45336</v>
      </c>
      <c r="I140" s="7" t="s">
        <v>35</v>
      </c>
      <c r="J140" s="7" t="s">
        <v>26</v>
      </c>
      <c r="K140" s="7" t="s">
        <v>27</v>
      </c>
      <c r="M140" s="13">
        <f t="shared" si="10"/>
        <v>8</v>
      </c>
      <c r="N140" s="14"/>
      <c r="O140" s="15">
        <f t="shared" si="11"/>
        <v>54.1798214285714</v>
      </c>
      <c r="P140" s="16"/>
      <c r="Q140" s="14">
        <f t="shared" si="12"/>
        <v>2</v>
      </c>
      <c r="R140" s="14"/>
      <c r="S140" s="14"/>
      <c r="T140" s="13" t="str">
        <f t="shared" si="13"/>
        <v>On-Time</v>
      </c>
      <c r="U140" s="14"/>
      <c r="V140" s="13" t="str">
        <f t="shared" si="14"/>
        <v>Low Quantity</v>
      </c>
      <c r="W140" s="16"/>
    </row>
    <row r="141" spans="1:23">
      <c r="A141" s="5" t="s">
        <v>200</v>
      </c>
      <c r="B141" s="6">
        <v>45536</v>
      </c>
      <c r="C141" s="7" t="s">
        <v>68</v>
      </c>
      <c r="D141" s="7" t="s">
        <v>77</v>
      </c>
      <c r="E141" s="8">
        <v>2743</v>
      </c>
      <c r="F141" s="9">
        <v>3245.79</v>
      </c>
      <c r="G141" s="6">
        <v>45539</v>
      </c>
      <c r="H141" s="6">
        <v>45549</v>
      </c>
      <c r="I141" s="7" t="s">
        <v>49</v>
      </c>
      <c r="J141" s="7" t="s">
        <v>26</v>
      </c>
      <c r="K141" s="7" t="s">
        <v>21</v>
      </c>
      <c r="M141" s="13">
        <f t="shared" si="10"/>
        <v>10</v>
      </c>
      <c r="N141" s="14"/>
      <c r="O141" s="15">
        <f t="shared" si="11"/>
        <v>1.18329930732774</v>
      </c>
      <c r="P141" s="16"/>
      <c r="Q141" s="14">
        <f t="shared" si="12"/>
        <v>3</v>
      </c>
      <c r="R141" s="14"/>
      <c r="S141" s="14"/>
      <c r="T141" s="13" t="str">
        <f t="shared" si="13"/>
        <v>Delayed</v>
      </c>
      <c r="U141" s="14"/>
      <c r="V141" s="13" t="str">
        <f t="shared" si="14"/>
        <v>Low Quantity</v>
      </c>
      <c r="W141" s="16"/>
    </row>
    <row r="142" spans="1:23">
      <c r="A142" s="5" t="s">
        <v>201</v>
      </c>
      <c r="B142" s="6">
        <v>45361</v>
      </c>
      <c r="C142" s="7" t="s">
        <v>65</v>
      </c>
      <c r="D142" s="7" t="s">
        <v>25</v>
      </c>
      <c r="E142" s="8">
        <v>1862</v>
      </c>
      <c r="F142" s="9">
        <v>249.19</v>
      </c>
      <c r="G142" s="6">
        <v>45363</v>
      </c>
      <c r="H142" s="6">
        <v>45368</v>
      </c>
      <c r="I142" s="7" t="s">
        <v>19</v>
      </c>
      <c r="J142" s="7" t="s">
        <v>26</v>
      </c>
      <c r="K142" s="7" t="s">
        <v>27</v>
      </c>
      <c r="M142" s="13">
        <f t="shared" si="10"/>
        <v>5</v>
      </c>
      <c r="N142" s="14"/>
      <c r="O142" s="15">
        <f t="shared" si="11"/>
        <v>0.133829215896885</v>
      </c>
      <c r="P142" s="16"/>
      <c r="Q142" s="14">
        <f t="shared" si="12"/>
        <v>2</v>
      </c>
      <c r="R142" s="14"/>
      <c r="S142" s="14"/>
      <c r="T142" s="13" t="str">
        <f t="shared" si="13"/>
        <v>On-Time</v>
      </c>
      <c r="U142" s="14"/>
      <c r="V142" s="13" t="str">
        <f t="shared" si="14"/>
        <v>Low Quantity</v>
      </c>
      <c r="W142" s="16"/>
    </row>
    <row r="143" spans="1:23">
      <c r="A143" s="5" t="s">
        <v>202</v>
      </c>
      <c r="B143" s="6">
        <v>45410</v>
      </c>
      <c r="C143" s="7" t="s">
        <v>56</v>
      </c>
      <c r="D143" s="7" t="s">
        <v>39</v>
      </c>
      <c r="E143" s="8">
        <v>1610</v>
      </c>
      <c r="F143" s="9">
        <v>13398.44</v>
      </c>
      <c r="G143" s="6">
        <v>45411</v>
      </c>
      <c r="H143" s="6">
        <v>45416</v>
      </c>
      <c r="I143" s="7" t="s">
        <v>35</v>
      </c>
      <c r="J143" s="7" t="s">
        <v>59</v>
      </c>
      <c r="K143" s="7" t="s">
        <v>27</v>
      </c>
      <c r="M143" s="13">
        <f t="shared" si="10"/>
        <v>5</v>
      </c>
      <c r="N143" s="14"/>
      <c r="O143" s="15">
        <f t="shared" si="11"/>
        <v>8.32201242236025</v>
      </c>
      <c r="P143" s="16"/>
      <c r="Q143" s="14">
        <f t="shared" si="12"/>
        <v>1</v>
      </c>
      <c r="R143" s="14"/>
      <c r="S143" s="14"/>
      <c r="T143" s="13" t="str">
        <f t="shared" si="13"/>
        <v>On-Time</v>
      </c>
      <c r="U143" s="14"/>
      <c r="V143" s="13" t="str">
        <f t="shared" si="14"/>
        <v>Low Quantity</v>
      </c>
      <c r="W143" s="16"/>
    </row>
    <row r="144" spans="1:23">
      <c r="A144" s="5" t="s">
        <v>203</v>
      </c>
      <c r="B144" s="6">
        <v>45444</v>
      </c>
      <c r="C144" s="7" t="s">
        <v>33</v>
      </c>
      <c r="D144" s="7" t="s">
        <v>34</v>
      </c>
      <c r="E144" s="8">
        <v>1105</v>
      </c>
      <c r="F144" s="9">
        <v>22261.43</v>
      </c>
      <c r="G144" s="6">
        <v>45447</v>
      </c>
      <c r="H144" s="6">
        <v>45450</v>
      </c>
      <c r="I144" s="7" t="s">
        <v>35</v>
      </c>
      <c r="J144" s="7" t="s">
        <v>59</v>
      </c>
      <c r="K144" s="7" t="s">
        <v>27</v>
      </c>
      <c r="M144" s="13">
        <f t="shared" si="10"/>
        <v>3</v>
      </c>
      <c r="N144" s="14"/>
      <c r="O144" s="15">
        <f t="shared" si="11"/>
        <v>20.1460904977376</v>
      </c>
      <c r="P144" s="16"/>
      <c r="Q144" s="14">
        <f t="shared" si="12"/>
        <v>3</v>
      </c>
      <c r="R144" s="14"/>
      <c r="S144" s="14"/>
      <c r="T144" s="13" t="str">
        <f t="shared" si="13"/>
        <v>On-Time</v>
      </c>
      <c r="U144" s="14"/>
      <c r="V144" s="13" t="str">
        <f t="shared" si="14"/>
        <v>Low Quantity</v>
      </c>
      <c r="W144" s="16"/>
    </row>
    <row r="145" spans="1:23">
      <c r="A145" s="5" t="s">
        <v>204</v>
      </c>
      <c r="B145" s="6">
        <v>45558</v>
      </c>
      <c r="C145" s="7" t="s">
        <v>29</v>
      </c>
      <c r="D145" s="7" t="s">
        <v>51</v>
      </c>
      <c r="E145" s="8">
        <v>1061</v>
      </c>
      <c r="F145" s="9">
        <v>4558.7</v>
      </c>
      <c r="G145" s="6">
        <v>45561</v>
      </c>
      <c r="H145" s="6">
        <v>45565</v>
      </c>
      <c r="I145" s="7" t="s">
        <v>19</v>
      </c>
      <c r="J145" s="7" t="s">
        <v>59</v>
      </c>
      <c r="K145" s="7" t="s">
        <v>27</v>
      </c>
      <c r="M145" s="13">
        <f t="shared" si="10"/>
        <v>4</v>
      </c>
      <c r="N145" s="14"/>
      <c r="O145" s="15">
        <f t="shared" si="11"/>
        <v>4.29660697455231</v>
      </c>
      <c r="P145" s="16"/>
      <c r="Q145" s="14">
        <f t="shared" si="12"/>
        <v>3</v>
      </c>
      <c r="R145" s="14"/>
      <c r="S145" s="14"/>
      <c r="T145" s="13" t="str">
        <f t="shared" si="13"/>
        <v>On-Time</v>
      </c>
      <c r="U145" s="14"/>
      <c r="V145" s="13" t="str">
        <f t="shared" si="14"/>
        <v>Low Quantity</v>
      </c>
      <c r="W145" s="16"/>
    </row>
    <row r="146" spans="1:23">
      <c r="A146" s="5" t="s">
        <v>205</v>
      </c>
      <c r="B146" s="6">
        <v>45669</v>
      </c>
      <c r="C146" s="7" t="s">
        <v>87</v>
      </c>
      <c r="D146" s="7" t="s">
        <v>18</v>
      </c>
      <c r="E146" s="8">
        <v>3766</v>
      </c>
      <c r="F146" s="9">
        <v>1047.79</v>
      </c>
      <c r="G146" s="6">
        <v>45670</v>
      </c>
      <c r="H146" s="6">
        <v>45673</v>
      </c>
      <c r="I146" s="7" t="s">
        <v>30</v>
      </c>
      <c r="J146" s="7" t="s">
        <v>26</v>
      </c>
      <c r="K146" s="7" t="s">
        <v>27</v>
      </c>
      <c r="M146" s="13">
        <f t="shared" si="10"/>
        <v>3</v>
      </c>
      <c r="N146" s="14"/>
      <c r="O146" s="15">
        <f t="shared" si="11"/>
        <v>0.278223579394583</v>
      </c>
      <c r="P146" s="16"/>
      <c r="Q146" s="14">
        <f t="shared" si="12"/>
        <v>1</v>
      </c>
      <c r="R146" s="14"/>
      <c r="S146" s="14"/>
      <c r="T146" s="13" t="str">
        <f t="shared" si="13"/>
        <v>On-Time</v>
      </c>
      <c r="U146" s="14"/>
      <c r="V146" s="13" t="str">
        <f t="shared" si="14"/>
        <v>High Quantity</v>
      </c>
      <c r="W146" s="16"/>
    </row>
    <row r="147" spans="1:23">
      <c r="A147" s="5" t="s">
        <v>206</v>
      </c>
      <c r="B147" s="6">
        <v>45999</v>
      </c>
      <c r="C147" s="7" t="s">
        <v>76</v>
      </c>
      <c r="D147" s="7" t="s">
        <v>34</v>
      </c>
      <c r="E147" s="8">
        <v>4376</v>
      </c>
      <c r="F147" s="9">
        <v>30306.06</v>
      </c>
      <c r="G147" s="6">
        <v>46001</v>
      </c>
      <c r="H147" s="6">
        <v>46012</v>
      </c>
      <c r="I147" s="7" t="s">
        <v>30</v>
      </c>
      <c r="J147" s="7" t="s">
        <v>44</v>
      </c>
      <c r="K147" s="7" t="s">
        <v>27</v>
      </c>
      <c r="M147" s="13">
        <f t="shared" si="10"/>
        <v>11</v>
      </c>
      <c r="N147" s="14"/>
      <c r="O147" s="15">
        <f t="shared" si="11"/>
        <v>6.92551645338208</v>
      </c>
      <c r="P147" s="16"/>
      <c r="Q147" s="14">
        <f t="shared" si="12"/>
        <v>2</v>
      </c>
      <c r="R147" s="14"/>
      <c r="S147" s="14"/>
      <c r="T147" s="13" t="str">
        <f t="shared" si="13"/>
        <v>On-Time</v>
      </c>
      <c r="U147" s="14"/>
      <c r="V147" s="13" t="str">
        <f t="shared" si="14"/>
        <v>High Quantity</v>
      </c>
      <c r="W147" s="16"/>
    </row>
    <row r="148" spans="1:23">
      <c r="A148" s="5" t="s">
        <v>207</v>
      </c>
      <c r="B148" s="6">
        <v>45585</v>
      </c>
      <c r="C148" s="7" t="s">
        <v>92</v>
      </c>
      <c r="D148" s="7" t="s">
        <v>18</v>
      </c>
      <c r="E148" s="8">
        <v>1610</v>
      </c>
      <c r="F148" s="9">
        <v>322.57</v>
      </c>
      <c r="G148" s="6">
        <v>45587</v>
      </c>
      <c r="H148" s="6">
        <v>45595</v>
      </c>
      <c r="I148" s="7" t="s">
        <v>30</v>
      </c>
      <c r="J148" s="7" t="s">
        <v>26</v>
      </c>
      <c r="K148" s="7" t="s">
        <v>27</v>
      </c>
      <c r="M148" s="13">
        <f t="shared" si="10"/>
        <v>8</v>
      </c>
      <c r="N148" s="14"/>
      <c r="O148" s="15">
        <f t="shared" si="11"/>
        <v>0.200354037267081</v>
      </c>
      <c r="P148" s="16"/>
      <c r="Q148" s="14">
        <f t="shared" si="12"/>
        <v>2</v>
      </c>
      <c r="R148" s="14"/>
      <c r="S148" s="14"/>
      <c r="T148" s="13" t="str">
        <f t="shared" si="13"/>
        <v>On-Time</v>
      </c>
      <c r="U148" s="14"/>
      <c r="V148" s="13" t="str">
        <f t="shared" si="14"/>
        <v>Low Quantity</v>
      </c>
      <c r="W148" s="16"/>
    </row>
    <row r="149" spans="1:23">
      <c r="A149" s="5" t="s">
        <v>208</v>
      </c>
      <c r="B149" s="6">
        <v>45643</v>
      </c>
      <c r="C149" s="7" t="s">
        <v>58</v>
      </c>
      <c r="D149" s="7" t="s">
        <v>34</v>
      </c>
      <c r="E149" s="5">
        <v>243</v>
      </c>
      <c r="F149" s="9">
        <v>39215.43</v>
      </c>
      <c r="G149" s="6">
        <v>45645</v>
      </c>
      <c r="H149" s="6">
        <v>45659</v>
      </c>
      <c r="I149" s="7" t="s">
        <v>49</v>
      </c>
      <c r="J149" s="7" t="s">
        <v>20</v>
      </c>
      <c r="K149" s="7" t="s">
        <v>27</v>
      </c>
      <c r="M149" s="13">
        <f t="shared" si="10"/>
        <v>14</v>
      </c>
      <c r="N149" s="14"/>
      <c r="O149" s="15">
        <f t="shared" si="11"/>
        <v>161.38037037037</v>
      </c>
      <c r="P149" s="16"/>
      <c r="Q149" s="14">
        <f t="shared" si="12"/>
        <v>2</v>
      </c>
      <c r="R149" s="14"/>
      <c r="S149" s="14"/>
      <c r="T149" s="13" t="str">
        <f t="shared" si="13"/>
        <v>On-Time</v>
      </c>
      <c r="U149" s="14"/>
      <c r="V149" s="13" t="str">
        <f t="shared" si="14"/>
        <v>Low Quantity</v>
      </c>
      <c r="W149" s="16"/>
    </row>
    <row r="150" spans="1:23">
      <c r="A150" s="5" t="s">
        <v>209</v>
      </c>
      <c r="B150" s="6">
        <v>45499</v>
      </c>
      <c r="C150" s="7" t="s">
        <v>54</v>
      </c>
      <c r="D150" s="7" t="s">
        <v>34</v>
      </c>
      <c r="E150" s="8">
        <v>4806</v>
      </c>
      <c r="F150" s="9">
        <v>33159.49</v>
      </c>
      <c r="G150" s="6">
        <v>45502</v>
      </c>
      <c r="H150" s="6">
        <v>45511</v>
      </c>
      <c r="I150" s="7" t="s">
        <v>49</v>
      </c>
      <c r="J150" s="7" t="s">
        <v>26</v>
      </c>
      <c r="K150" s="7" t="s">
        <v>21</v>
      </c>
      <c r="M150" s="13">
        <f t="shared" si="10"/>
        <v>9</v>
      </c>
      <c r="N150" s="14"/>
      <c r="O150" s="15">
        <f t="shared" si="11"/>
        <v>6.8996025801082</v>
      </c>
      <c r="P150" s="16"/>
      <c r="Q150" s="14">
        <f t="shared" si="12"/>
        <v>3</v>
      </c>
      <c r="R150" s="14"/>
      <c r="S150" s="14"/>
      <c r="T150" s="13" t="str">
        <f t="shared" si="13"/>
        <v>Delayed</v>
      </c>
      <c r="U150" s="14"/>
      <c r="V150" s="13" t="str">
        <f t="shared" si="14"/>
        <v>High Quantity</v>
      </c>
      <c r="W150" s="16"/>
    </row>
    <row r="151" spans="1:23">
      <c r="A151" s="5" t="s">
        <v>210</v>
      </c>
      <c r="B151" s="6">
        <v>45886</v>
      </c>
      <c r="C151" s="7" t="s">
        <v>68</v>
      </c>
      <c r="D151" s="7" t="s">
        <v>25</v>
      </c>
      <c r="E151" s="8">
        <v>4796</v>
      </c>
      <c r="F151" s="9">
        <v>2705.15</v>
      </c>
      <c r="G151" s="6">
        <v>45888</v>
      </c>
      <c r="H151" s="6">
        <v>45892</v>
      </c>
      <c r="I151" s="7" t="s">
        <v>19</v>
      </c>
      <c r="J151" s="7" t="s">
        <v>26</v>
      </c>
      <c r="K151" s="7" t="s">
        <v>27</v>
      </c>
      <c r="M151" s="13">
        <f t="shared" si="10"/>
        <v>4</v>
      </c>
      <c r="N151" s="14"/>
      <c r="O151" s="15">
        <f t="shared" si="11"/>
        <v>0.564042952460384</v>
      </c>
      <c r="P151" s="16"/>
      <c r="Q151" s="14">
        <f t="shared" si="12"/>
        <v>2</v>
      </c>
      <c r="R151" s="14"/>
      <c r="S151" s="14"/>
      <c r="T151" s="13" t="str">
        <f t="shared" si="13"/>
        <v>On-Time</v>
      </c>
      <c r="U151" s="14"/>
      <c r="V151" s="13" t="str">
        <f t="shared" si="14"/>
        <v>High Quantity</v>
      </c>
      <c r="W151" s="16"/>
    </row>
    <row r="152" spans="1:23">
      <c r="A152" s="5" t="s">
        <v>211</v>
      </c>
      <c r="B152" s="6">
        <v>45837</v>
      </c>
      <c r="C152" s="7" t="s">
        <v>33</v>
      </c>
      <c r="D152" s="7" t="s">
        <v>39</v>
      </c>
      <c r="E152" s="5">
        <v>171</v>
      </c>
      <c r="F152" s="9">
        <v>11613.09</v>
      </c>
      <c r="G152" s="6">
        <v>45838</v>
      </c>
      <c r="H152" s="6">
        <v>45841</v>
      </c>
      <c r="I152" s="7" t="s">
        <v>19</v>
      </c>
      <c r="J152" s="7" t="s">
        <v>26</v>
      </c>
      <c r="K152" s="7" t="s">
        <v>27</v>
      </c>
      <c r="M152" s="13">
        <f t="shared" si="10"/>
        <v>3</v>
      </c>
      <c r="N152" s="14"/>
      <c r="O152" s="15">
        <f t="shared" si="11"/>
        <v>67.9128070175439</v>
      </c>
      <c r="P152" s="16"/>
      <c r="Q152" s="14">
        <f t="shared" si="12"/>
        <v>1</v>
      </c>
      <c r="R152" s="14"/>
      <c r="S152" s="14"/>
      <c r="T152" s="13" t="str">
        <f t="shared" si="13"/>
        <v>On-Time</v>
      </c>
      <c r="U152" s="14"/>
      <c r="V152" s="13" t="str">
        <f t="shared" si="14"/>
        <v>Low Quantity</v>
      </c>
      <c r="W152" s="16"/>
    </row>
    <row r="153" spans="1:23">
      <c r="A153" s="5" t="s">
        <v>212</v>
      </c>
      <c r="B153" s="6">
        <v>45454</v>
      </c>
      <c r="C153" s="7" t="s">
        <v>76</v>
      </c>
      <c r="D153" s="7" t="s">
        <v>18</v>
      </c>
      <c r="E153" s="8">
        <v>3158</v>
      </c>
      <c r="F153" s="9">
        <v>8406</v>
      </c>
      <c r="G153" s="6">
        <v>45457</v>
      </c>
      <c r="H153" s="6">
        <v>45462</v>
      </c>
      <c r="I153" s="7" t="s">
        <v>49</v>
      </c>
      <c r="J153" s="7" t="s">
        <v>26</v>
      </c>
      <c r="K153" s="7" t="s">
        <v>27</v>
      </c>
      <c r="M153" s="13">
        <f t="shared" si="10"/>
        <v>5</v>
      </c>
      <c r="N153" s="14"/>
      <c r="O153" s="15">
        <f t="shared" si="11"/>
        <v>2.66181127295757</v>
      </c>
      <c r="P153" s="16"/>
      <c r="Q153" s="14">
        <f t="shared" si="12"/>
        <v>3</v>
      </c>
      <c r="R153" s="14"/>
      <c r="S153" s="14"/>
      <c r="T153" s="13" t="str">
        <f t="shared" si="13"/>
        <v>On-Time</v>
      </c>
      <c r="U153" s="14"/>
      <c r="V153" s="13" t="str">
        <f t="shared" si="14"/>
        <v>High Quantity</v>
      </c>
      <c r="W153" s="16"/>
    </row>
    <row r="154" spans="1:23">
      <c r="A154" s="5" t="s">
        <v>213</v>
      </c>
      <c r="B154" s="6">
        <v>45578</v>
      </c>
      <c r="C154" s="7" t="s">
        <v>65</v>
      </c>
      <c r="D154" s="7" t="s">
        <v>46</v>
      </c>
      <c r="E154" s="8">
        <v>3358</v>
      </c>
      <c r="F154" s="9">
        <v>5582.3</v>
      </c>
      <c r="G154" s="6">
        <v>45580</v>
      </c>
      <c r="H154" s="6">
        <v>45582</v>
      </c>
      <c r="I154" s="7" t="s">
        <v>30</v>
      </c>
      <c r="J154" s="7" t="s">
        <v>59</v>
      </c>
      <c r="K154" s="7" t="s">
        <v>27</v>
      </c>
      <c r="M154" s="13">
        <f t="shared" si="10"/>
        <v>2</v>
      </c>
      <c r="N154" s="14"/>
      <c r="O154" s="15">
        <f t="shared" si="11"/>
        <v>1.66238832638475</v>
      </c>
      <c r="P154" s="16"/>
      <c r="Q154" s="14">
        <f t="shared" si="12"/>
        <v>2</v>
      </c>
      <c r="R154" s="14"/>
      <c r="S154" s="14"/>
      <c r="T154" s="13" t="str">
        <f t="shared" si="13"/>
        <v>On-Time</v>
      </c>
      <c r="U154" s="14"/>
      <c r="V154" s="13" t="str">
        <f t="shared" si="14"/>
        <v>High Quantity</v>
      </c>
      <c r="W154" s="16"/>
    </row>
    <row r="155" spans="1:23">
      <c r="A155" s="5" t="s">
        <v>214</v>
      </c>
      <c r="B155" s="6">
        <v>45333</v>
      </c>
      <c r="C155" s="7" t="s">
        <v>29</v>
      </c>
      <c r="D155" s="7" t="s">
        <v>41</v>
      </c>
      <c r="E155" s="8">
        <v>3035</v>
      </c>
      <c r="F155" s="9">
        <v>574.05</v>
      </c>
      <c r="G155" s="6">
        <v>45336</v>
      </c>
      <c r="H155" s="6">
        <v>45337</v>
      </c>
      <c r="I155" s="7" t="s">
        <v>49</v>
      </c>
      <c r="J155" s="7" t="s">
        <v>59</v>
      </c>
      <c r="K155" s="7" t="s">
        <v>27</v>
      </c>
      <c r="M155" s="13">
        <f t="shared" si="10"/>
        <v>1</v>
      </c>
      <c r="N155" s="14"/>
      <c r="O155" s="15">
        <f t="shared" si="11"/>
        <v>0.189143327841845</v>
      </c>
      <c r="P155" s="16"/>
      <c r="Q155" s="14">
        <f t="shared" si="12"/>
        <v>3</v>
      </c>
      <c r="R155" s="14"/>
      <c r="S155" s="14"/>
      <c r="T155" s="13" t="str">
        <f t="shared" si="13"/>
        <v>On-Time</v>
      </c>
      <c r="U155" s="14"/>
      <c r="V155" s="13" t="str">
        <f t="shared" si="14"/>
        <v>High Quantity</v>
      </c>
      <c r="W155" s="16"/>
    </row>
    <row r="156" spans="1:23">
      <c r="A156" s="5" t="s">
        <v>215</v>
      </c>
      <c r="B156" s="6">
        <v>45971</v>
      </c>
      <c r="C156" s="7" t="s">
        <v>92</v>
      </c>
      <c r="D156" s="7" t="s">
        <v>39</v>
      </c>
      <c r="E156" s="8">
        <v>4380</v>
      </c>
      <c r="F156" s="9">
        <v>6589.94</v>
      </c>
      <c r="G156" s="6">
        <v>45974</v>
      </c>
      <c r="H156" s="6">
        <v>45981</v>
      </c>
      <c r="I156" s="7" t="s">
        <v>35</v>
      </c>
      <c r="J156" s="7" t="s">
        <v>26</v>
      </c>
      <c r="K156" s="7" t="s">
        <v>27</v>
      </c>
      <c r="M156" s="13">
        <f t="shared" si="10"/>
        <v>7</v>
      </c>
      <c r="N156" s="14"/>
      <c r="O156" s="15">
        <f t="shared" si="11"/>
        <v>1.50455251141552</v>
      </c>
      <c r="P156" s="16"/>
      <c r="Q156" s="14">
        <f t="shared" si="12"/>
        <v>3</v>
      </c>
      <c r="R156" s="14"/>
      <c r="S156" s="14"/>
      <c r="T156" s="13" t="str">
        <f t="shared" si="13"/>
        <v>On-Time</v>
      </c>
      <c r="U156" s="14"/>
      <c r="V156" s="13" t="str">
        <f t="shared" si="14"/>
        <v>High Quantity</v>
      </c>
      <c r="W156" s="16"/>
    </row>
    <row r="157" spans="1:23">
      <c r="A157" s="5" t="s">
        <v>216</v>
      </c>
      <c r="B157" s="6">
        <v>45623</v>
      </c>
      <c r="C157" s="7" t="s">
        <v>17</v>
      </c>
      <c r="D157" s="7" t="s">
        <v>100</v>
      </c>
      <c r="E157" s="5">
        <v>937</v>
      </c>
      <c r="F157" s="9">
        <v>2765.81</v>
      </c>
      <c r="G157" s="6">
        <v>45625</v>
      </c>
      <c r="H157" s="6">
        <v>45629</v>
      </c>
      <c r="I157" s="7" t="s">
        <v>19</v>
      </c>
      <c r="J157" s="7" t="s">
        <v>59</v>
      </c>
      <c r="K157" s="7" t="s">
        <v>27</v>
      </c>
      <c r="M157" s="13">
        <f t="shared" si="10"/>
        <v>4</v>
      </c>
      <c r="N157" s="14"/>
      <c r="O157" s="15">
        <f t="shared" si="11"/>
        <v>2.95177161152615</v>
      </c>
      <c r="P157" s="16"/>
      <c r="Q157" s="14">
        <f t="shared" si="12"/>
        <v>2</v>
      </c>
      <c r="R157" s="14"/>
      <c r="S157" s="14"/>
      <c r="T157" s="13" t="str">
        <f t="shared" si="13"/>
        <v>On-Time</v>
      </c>
      <c r="U157" s="14"/>
      <c r="V157" s="13" t="str">
        <f t="shared" si="14"/>
        <v>Low Quantity</v>
      </c>
      <c r="W157" s="16"/>
    </row>
    <row r="158" spans="1:23">
      <c r="A158" s="5" t="s">
        <v>217</v>
      </c>
      <c r="B158" s="6">
        <v>45301</v>
      </c>
      <c r="C158" s="7" t="s">
        <v>58</v>
      </c>
      <c r="D158" s="7" t="s">
        <v>51</v>
      </c>
      <c r="E158" s="8">
        <v>3477</v>
      </c>
      <c r="F158" s="9">
        <v>13416.45</v>
      </c>
      <c r="G158" s="6">
        <v>45303</v>
      </c>
      <c r="H158" s="6">
        <v>45304</v>
      </c>
      <c r="I158" s="7" t="s">
        <v>35</v>
      </c>
      <c r="J158" s="7" t="s">
        <v>59</v>
      </c>
      <c r="K158" s="7" t="s">
        <v>27</v>
      </c>
      <c r="M158" s="13">
        <f t="shared" si="10"/>
        <v>1</v>
      </c>
      <c r="N158" s="14"/>
      <c r="O158" s="15">
        <f t="shared" si="11"/>
        <v>3.85862812769629</v>
      </c>
      <c r="P158" s="16"/>
      <c r="Q158" s="14">
        <f t="shared" si="12"/>
        <v>2</v>
      </c>
      <c r="R158" s="14"/>
      <c r="S158" s="14"/>
      <c r="T158" s="13" t="str">
        <f t="shared" si="13"/>
        <v>On-Time</v>
      </c>
      <c r="U158" s="14"/>
      <c r="V158" s="13" t="str">
        <f t="shared" si="14"/>
        <v>High Quantity</v>
      </c>
      <c r="W158" s="16"/>
    </row>
    <row r="159" spans="1:23">
      <c r="A159" s="5" t="s">
        <v>218</v>
      </c>
      <c r="B159" s="6">
        <v>45910</v>
      </c>
      <c r="C159" s="7" t="s">
        <v>58</v>
      </c>
      <c r="D159" s="7" t="s">
        <v>41</v>
      </c>
      <c r="E159" s="8">
        <v>1629</v>
      </c>
      <c r="F159" s="9">
        <v>21454.14</v>
      </c>
      <c r="G159" s="6">
        <v>45911</v>
      </c>
      <c r="H159" s="6">
        <v>45933</v>
      </c>
      <c r="I159" s="7" t="s">
        <v>49</v>
      </c>
      <c r="J159" s="7" t="s">
        <v>20</v>
      </c>
      <c r="K159" s="7" t="s">
        <v>27</v>
      </c>
      <c r="M159" s="13">
        <f t="shared" si="10"/>
        <v>22</v>
      </c>
      <c r="N159" s="14"/>
      <c r="O159" s="15">
        <f t="shared" si="11"/>
        <v>13.1701289134438</v>
      </c>
      <c r="P159" s="16"/>
      <c r="Q159" s="14">
        <f t="shared" si="12"/>
        <v>1</v>
      </c>
      <c r="R159" s="14"/>
      <c r="S159" s="14"/>
      <c r="T159" s="13" t="str">
        <f t="shared" si="13"/>
        <v>On-Time</v>
      </c>
      <c r="U159" s="14"/>
      <c r="V159" s="13" t="str">
        <f t="shared" si="14"/>
        <v>Low Quantity</v>
      </c>
      <c r="W159" s="16"/>
    </row>
    <row r="160" spans="1:23">
      <c r="A160" s="5" t="s">
        <v>219</v>
      </c>
      <c r="B160" s="6">
        <v>45363</v>
      </c>
      <c r="C160" s="7" t="s">
        <v>17</v>
      </c>
      <c r="D160" s="7" t="s">
        <v>34</v>
      </c>
      <c r="E160" s="8">
        <v>2642</v>
      </c>
      <c r="F160" s="9">
        <v>49499.19</v>
      </c>
      <c r="G160" s="6">
        <v>45365</v>
      </c>
      <c r="H160" s="6">
        <v>45379</v>
      </c>
      <c r="I160" s="7" t="s">
        <v>30</v>
      </c>
      <c r="J160" s="7" t="s">
        <v>44</v>
      </c>
      <c r="K160" s="7" t="s">
        <v>21</v>
      </c>
      <c r="M160" s="13">
        <f t="shared" si="10"/>
        <v>14</v>
      </c>
      <c r="N160" s="14"/>
      <c r="O160" s="15">
        <f t="shared" si="11"/>
        <v>18.7354996214989</v>
      </c>
      <c r="P160" s="16"/>
      <c r="Q160" s="14">
        <f t="shared" si="12"/>
        <v>2</v>
      </c>
      <c r="R160" s="14"/>
      <c r="S160" s="14"/>
      <c r="T160" s="13" t="str">
        <f t="shared" si="13"/>
        <v>Delayed</v>
      </c>
      <c r="U160" s="14"/>
      <c r="V160" s="13" t="str">
        <f t="shared" si="14"/>
        <v>Low Quantity</v>
      </c>
      <c r="W160" s="16"/>
    </row>
    <row r="161" spans="1:23">
      <c r="A161" s="5" t="s">
        <v>220</v>
      </c>
      <c r="B161" s="6">
        <v>45572</v>
      </c>
      <c r="C161" s="7" t="s">
        <v>24</v>
      </c>
      <c r="D161" s="7" t="s">
        <v>39</v>
      </c>
      <c r="E161" s="8">
        <v>1108</v>
      </c>
      <c r="F161" s="9">
        <v>18713.1</v>
      </c>
      <c r="G161" s="6">
        <v>45573</v>
      </c>
      <c r="H161" s="6">
        <v>45580</v>
      </c>
      <c r="I161" s="7" t="s">
        <v>49</v>
      </c>
      <c r="J161" s="7" t="s">
        <v>44</v>
      </c>
      <c r="K161" s="7" t="s">
        <v>27</v>
      </c>
      <c r="M161" s="13">
        <f t="shared" si="10"/>
        <v>7</v>
      </c>
      <c r="N161" s="14"/>
      <c r="O161" s="15">
        <f t="shared" si="11"/>
        <v>16.8890794223827</v>
      </c>
      <c r="P161" s="16"/>
      <c r="Q161" s="14">
        <f t="shared" si="12"/>
        <v>1</v>
      </c>
      <c r="R161" s="14"/>
      <c r="S161" s="14"/>
      <c r="T161" s="13" t="str">
        <f t="shared" si="13"/>
        <v>On-Time</v>
      </c>
      <c r="U161" s="14"/>
      <c r="V161" s="13" t="str">
        <f t="shared" si="14"/>
        <v>Low Quantity</v>
      </c>
      <c r="W161" s="16"/>
    </row>
    <row r="162" spans="1:23">
      <c r="A162" s="5" t="s">
        <v>221</v>
      </c>
      <c r="B162" s="6">
        <v>45910</v>
      </c>
      <c r="C162" s="7" t="s">
        <v>38</v>
      </c>
      <c r="D162" s="7" t="s">
        <v>51</v>
      </c>
      <c r="E162" s="8">
        <v>3982</v>
      </c>
      <c r="F162" s="9">
        <v>4381.69</v>
      </c>
      <c r="G162" s="6">
        <v>45913</v>
      </c>
      <c r="H162" s="6">
        <v>45915</v>
      </c>
      <c r="I162" s="7" t="s">
        <v>49</v>
      </c>
      <c r="J162" s="7" t="s">
        <v>26</v>
      </c>
      <c r="K162" s="7" t="s">
        <v>27</v>
      </c>
      <c r="M162" s="13">
        <f t="shared" si="10"/>
        <v>2</v>
      </c>
      <c r="N162" s="14"/>
      <c r="O162" s="15">
        <f t="shared" si="11"/>
        <v>1.10037418382722</v>
      </c>
      <c r="P162" s="16"/>
      <c r="Q162" s="14">
        <f t="shared" si="12"/>
        <v>3</v>
      </c>
      <c r="R162" s="14"/>
      <c r="S162" s="14"/>
      <c r="T162" s="13" t="str">
        <f t="shared" si="13"/>
        <v>On-Time</v>
      </c>
      <c r="U162" s="14"/>
      <c r="V162" s="13" t="str">
        <f t="shared" si="14"/>
        <v>High Quantity</v>
      </c>
      <c r="W162" s="16"/>
    </row>
    <row r="163" spans="1:23">
      <c r="A163" s="5" t="s">
        <v>222</v>
      </c>
      <c r="B163" s="6">
        <v>45307</v>
      </c>
      <c r="C163" s="7" t="s">
        <v>94</v>
      </c>
      <c r="D163" s="7" t="s">
        <v>100</v>
      </c>
      <c r="E163" s="8">
        <v>3793</v>
      </c>
      <c r="F163" s="9">
        <v>2886.89</v>
      </c>
      <c r="G163" s="6">
        <v>45309</v>
      </c>
      <c r="H163" s="6">
        <v>45319</v>
      </c>
      <c r="I163" s="7" t="s">
        <v>30</v>
      </c>
      <c r="J163" s="7" t="s">
        <v>26</v>
      </c>
      <c r="K163" s="7" t="s">
        <v>21</v>
      </c>
      <c r="M163" s="13">
        <f t="shared" si="10"/>
        <v>10</v>
      </c>
      <c r="N163" s="14"/>
      <c r="O163" s="15">
        <f t="shared" si="11"/>
        <v>0.761109939361983</v>
      </c>
      <c r="P163" s="16"/>
      <c r="Q163" s="14">
        <f t="shared" si="12"/>
        <v>2</v>
      </c>
      <c r="R163" s="14"/>
      <c r="S163" s="14"/>
      <c r="T163" s="13" t="str">
        <f t="shared" si="13"/>
        <v>Delayed</v>
      </c>
      <c r="U163" s="14"/>
      <c r="V163" s="13" t="str">
        <f t="shared" si="14"/>
        <v>High Quantity</v>
      </c>
      <c r="W163" s="16"/>
    </row>
    <row r="164" spans="1:23">
      <c r="A164" s="5" t="s">
        <v>223</v>
      </c>
      <c r="B164" s="6">
        <v>45488</v>
      </c>
      <c r="C164" s="7" t="s">
        <v>29</v>
      </c>
      <c r="D164" s="7" t="s">
        <v>39</v>
      </c>
      <c r="E164" s="8">
        <v>2437</v>
      </c>
      <c r="F164" s="9">
        <v>7297.33</v>
      </c>
      <c r="G164" s="6">
        <v>45489</v>
      </c>
      <c r="H164" s="6">
        <v>45494</v>
      </c>
      <c r="I164" s="7" t="s">
        <v>30</v>
      </c>
      <c r="J164" s="7" t="s">
        <v>26</v>
      </c>
      <c r="K164" s="7" t="s">
        <v>27</v>
      </c>
      <c r="M164" s="13">
        <f t="shared" si="10"/>
        <v>5</v>
      </c>
      <c r="N164" s="14"/>
      <c r="O164" s="15">
        <f t="shared" si="11"/>
        <v>2.99439064423471</v>
      </c>
      <c r="P164" s="16"/>
      <c r="Q164" s="14">
        <f t="shared" si="12"/>
        <v>1</v>
      </c>
      <c r="R164" s="14"/>
      <c r="S164" s="14"/>
      <c r="T164" s="13" t="str">
        <f t="shared" si="13"/>
        <v>On-Time</v>
      </c>
      <c r="U164" s="14"/>
      <c r="V164" s="13" t="str">
        <f t="shared" si="14"/>
        <v>Low Quantity</v>
      </c>
      <c r="W164" s="16"/>
    </row>
    <row r="165" spans="1:23">
      <c r="A165" s="5" t="s">
        <v>224</v>
      </c>
      <c r="B165" s="6">
        <v>45538</v>
      </c>
      <c r="C165" s="7" t="s">
        <v>38</v>
      </c>
      <c r="D165" s="7" t="s">
        <v>77</v>
      </c>
      <c r="E165" s="8">
        <v>2351</v>
      </c>
      <c r="F165" s="9">
        <v>1410.96</v>
      </c>
      <c r="G165" s="6">
        <v>45539</v>
      </c>
      <c r="H165" s="6">
        <v>45544</v>
      </c>
      <c r="I165" s="7" t="s">
        <v>30</v>
      </c>
      <c r="J165" s="7" t="s">
        <v>26</v>
      </c>
      <c r="K165" s="7" t="s">
        <v>27</v>
      </c>
      <c r="M165" s="13">
        <f t="shared" si="10"/>
        <v>5</v>
      </c>
      <c r="N165" s="14"/>
      <c r="O165" s="15">
        <f t="shared" si="11"/>
        <v>0.600153126329222</v>
      </c>
      <c r="P165" s="16"/>
      <c r="Q165" s="14">
        <f t="shared" si="12"/>
        <v>1</v>
      </c>
      <c r="R165" s="14"/>
      <c r="S165" s="14"/>
      <c r="T165" s="13" t="str">
        <f t="shared" si="13"/>
        <v>On-Time</v>
      </c>
      <c r="U165" s="14"/>
      <c r="V165" s="13" t="str">
        <f t="shared" si="14"/>
        <v>Low Quantity</v>
      </c>
      <c r="W165" s="16"/>
    </row>
    <row r="166" spans="1:23">
      <c r="A166" s="5" t="s">
        <v>225</v>
      </c>
      <c r="B166" s="6">
        <v>45698</v>
      </c>
      <c r="C166" s="7" t="s">
        <v>56</v>
      </c>
      <c r="D166" s="7" t="s">
        <v>100</v>
      </c>
      <c r="E166" s="5">
        <v>666</v>
      </c>
      <c r="F166" s="9">
        <v>2723.46</v>
      </c>
      <c r="G166" s="6">
        <v>45699</v>
      </c>
      <c r="H166" s="6">
        <v>45705</v>
      </c>
      <c r="I166" s="7" t="s">
        <v>19</v>
      </c>
      <c r="J166" s="7" t="s">
        <v>26</v>
      </c>
      <c r="K166" s="7" t="s">
        <v>27</v>
      </c>
      <c r="M166" s="13">
        <f t="shared" si="10"/>
        <v>6</v>
      </c>
      <c r="N166" s="14"/>
      <c r="O166" s="15">
        <f t="shared" si="11"/>
        <v>4.08927927927928</v>
      </c>
      <c r="P166" s="16"/>
      <c r="Q166" s="14">
        <f t="shared" si="12"/>
        <v>1</v>
      </c>
      <c r="R166" s="14"/>
      <c r="S166" s="14"/>
      <c r="T166" s="13" t="str">
        <f t="shared" si="13"/>
        <v>On-Time</v>
      </c>
      <c r="U166" s="14"/>
      <c r="V166" s="13" t="str">
        <f t="shared" si="14"/>
        <v>Low Quantity</v>
      </c>
      <c r="W166" s="16"/>
    </row>
    <row r="167" spans="1:23">
      <c r="A167" s="5" t="s">
        <v>226</v>
      </c>
      <c r="B167" s="6">
        <v>45316</v>
      </c>
      <c r="C167" s="7" t="s">
        <v>24</v>
      </c>
      <c r="D167" s="7" t="s">
        <v>81</v>
      </c>
      <c r="E167" s="5">
        <v>359</v>
      </c>
      <c r="F167" s="9">
        <v>2495.81</v>
      </c>
      <c r="G167" s="6">
        <v>45318</v>
      </c>
      <c r="H167" s="6">
        <v>45328</v>
      </c>
      <c r="I167" s="7" t="s">
        <v>49</v>
      </c>
      <c r="J167" s="7" t="s">
        <v>26</v>
      </c>
      <c r="K167" s="7" t="s">
        <v>21</v>
      </c>
      <c r="M167" s="13">
        <f t="shared" si="10"/>
        <v>10</v>
      </c>
      <c r="N167" s="14"/>
      <c r="O167" s="15">
        <f t="shared" si="11"/>
        <v>6.95211699164345</v>
      </c>
      <c r="P167" s="16"/>
      <c r="Q167" s="14">
        <f t="shared" si="12"/>
        <v>2</v>
      </c>
      <c r="R167" s="14"/>
      <c r="S167" s="14"/>
      <c r="T167" s="13" t="str">
        <f t="shared" si="13"/>
        <v>Delayed</v>
      </c>
      <c r="U167" s="14"/>
      <c r="V167" s="13" t="str">
        <f t="shared" si="14"/>
        <v>Low Quantity</v>
      </c>
      <c r="W167" s="16"/>
    </row>
    <row r="168" spans="1:23">
      <c r="A168" s="5" t="s">
        <v>227</v>
      </c>
      <c r="B168" s="6">
        <v>45575</v>
      </c>
      <c r="C168" s="7" t="s">
        <v>38</v>
      </c>
      <c r="D168" s="7" t="s">
        <v>39</v>
      </c>
      <c r="E168" s="8">
        <v>4996</v>
      </c>
      <c r="F168" s="9">
        <v>6077.65</v>
      </c>
      <c r="G168" s="6">
        <v>45578</v>
      </c>
      <c r="H168" s="6">
        <v>45587</v>
      </c>
      <c r="I168" s="7" t="s">
        <v>30</v>
      </c>
      <c r="J168" s="7" t="s">
        <v>26</v>
      </c>
      <c r="K168" s="7" t="s">
        <v>21</v>
      </c>
      <c r="M168" s="13">
        <f t="shared" si="10"/>
        <v>9</v>
      </c>
      <c r="N168" s="14"/>
      <c r="O168" s="15">
        <f t="shared" si="11"/>
        <v>1.21650320256205</v>
      </c>
      <c r="P168" s="16"/>
      <c r="Q168" s="14">
        <f t="shared" si="12"/>
        <v>3</v>
      </c>
      <c r="R168" s="14"/>
      <c r="S168" s="14"/>
      <c r="T168" s="13" t="str">
        <f t="shared" si="13"/>
        <v>Delayed</v>
      </c>
      <c r="U168" s="14"/>
      <c r="V168" s="13" t="str">
        <f t="shared" si="14"/>
        <v>High Quantity</v>
      </c>
      <c r="W168" s="16"/>
    </row>
    <row r="169" spans="1:23">
      <c r="A169" s="5" t="s">
        <v>228</v>
      </c>
      <c r="B169" s="6">
        <v>45757</v>
      </c>
      <c r="C169" s="7" t="s">
        <v>38</v>
      </c>
      <c r="D169" s="7" t="s">
        <v>25</v>
      </c>
      <c r="E169" s="5">
        <v>174</v>
      </c>
      <c r="F169" s="9">
        <v>2794.23</v>
      </c>
      <c r="G169" s="6">
        <v>45760</v>
      </c>
      <c r="H169" s="6">
        <v>45769</v>
      </c>
      <c r="I169" s="7" t="s">
        <v>49</v>
      </c>
      <c r="J169" s="7" t="s">
        <v>26</v>
      </c>
      <c r="K169" s="7" t="s">
        <v>21</v>
      </c>
      <c r="M169" s="13">
        <f t="shared" si="10"/>
        <v>9</v>
      </c>
      <c r="N169" s="14"/>
      <c r="O169" s="15">
        <f t="shared" si="11"/>
        <v>16.0587931034483</v>
      </c>
      <c r="P169" s="16"/>
      <c r="Q169" s="14">
        <f t="shared" si="12"/>
        <v>3</v>
      </c>
      <c r="R169" s="14"/>
      <c r="S169" s="14"/>
      <c r="T169" s="13" t="str">
        <f t="shared" si="13"/>
        <v>Delayed</v>
      </c>
      <c r="U169" s="14"/>
      <c r="V169" s="13" t="str">
        <f t="shared" si="14"/>
        <v>Low Quantity</v>
      </c>
      <c r="W169" s="16"/>
    </row>
    <row r="170" spans="1:23">
      <c r="A170" s="5" t="s">
        <v>229</v>
      </c>
      <c r="B170" s="6">
        <v>46012</v>
      </c>
      <c r="C170" s="7" t="s">
        <v>94</v>
      </c>
      <c r="D170" s="7" t="s">
        <v>51</v>
      </c>
      <c r="E170" s="8">
        <v>2021</v>
      </c>
      <c r="F170" s="9">
        <v>6781.91</v>
      </c>
      <c r="G170" s="6">
        <v>46014</v>
      </c>
      <c r="H170" s="6">
        <v>46016</v>
      </c>
      <c r="I170" s="7" t="s">
        <v>19</v>
      </c>
      <c r="J170" s="7" t="s">
        <v>59</v>
      </c>
      <c r="K170" s="7" t="s">
        <v>27</v>
      </c>
      <c r="M170" s="13">
        <f t="shared" si="10"/>
        <v>2</v>
      </c>
      <c r="N170" s="14"/>
      <c r="O170" s="15">
        <f t="shared" si="11"/>
        <v>3.35571994062345</v>
      </c>
      <c r="P170" s="16"/>
      <c r="Q170" s="14">
        <f t="shared" si="12"/>
        <v>2</v>
      </c>
      <c r="R170" s="14"/>
      <c r="S170" s="14"/>
      <c r="T170" s="13" t="str">
        <f t="shared" si="13"/>
        <v>On-Time</v>
      </c>
      <c r="U170" s="14"/>
      <c r="V170" s="13" t="str">
        <f t="shared" si="14"/>
        <v>Low Quantity</v>
      </c>
      <c r="W170" s="16"/>
    </row>
    <row r="171" spans="1:23">
      <c r="A171" s="5" t="s">
        <v>230</v>
      </c>
      <c r="B171" s="6">
        <v>45558</v>
      </c>
      <c r="C171" s="7" t="s">
        <v>65</v>
      </c>
      <c r="D171" s="7" t="s">
        <v>51</v>
      </c>
      <c r="E171" s="8">
        <v>2800</v>
      </c>
      <c r="F171" s="9">
        <v>1815.21</v>
      </c>
      <c r="G171" s="6">
        <v>45560</v>
      </c>
      <c r="H171" s="6">
        <v>45564</v>
      </c>
      <c r="I171" s="7" t="s">
        <v>35</v>
      </c>
      <c r="J171" s="7" t="s">
        <v>26</v>
      </c>
      <c r="K171" s="7" t="s">
        <v>27</v>
      </c>
      <c r="M171" s="13">
        <f t="shared" si="10"/>
        <v>4</v>
      </c>
      <c r="N171" s="14"/>
      <c r="O171" s="15">
        <f t="shared" si="11"/>
        <v>0.648289285714286</v>
      </c>
      <c r="P171" s="16"/>
      <c r="Q171" s="14">
        <f t="shared" si="12"/>
        <v>2</v>
      </c>
      <c r="R171" s="14"/>
      <c r="S171" s="14"/>
      <c r="T171" s="13" t="str">
        <f t="shared" si="13"/>
        <v>On-Time</v>
      </c>
      <c r="U171" s="14"/>
      <c r="V171" s="13" t="str">
        <f t="shared" si="14"/>
        <v>Low Quantity</v>
      </c>
      <c r="W171" s="16"/>
    </row>
    <row r="172" spans="1:23">
      <c r="A172" s="5" t="s">
        <v>231</v>
      </c>
      <c r="B172" s="6">
        <v>45603</v>
      </c>
      <c r="C172" s="7" t="s">
        <v>38</v>
      </c>
      <c r="D172" s="7" t="s">
        <v>81</v>
      </c>
      <c r="E172" s="8">
        <v>2279</v>
      </c>
      <c r="F172" s="9">
        <v>2333.27</v>
      </c>
      <c r="G172" s="6">
        <v>45605</v>
      </c>
      <c r="H172" s="6">
        <v>45609</v>
      </c>
      <c r="I172" s="7" t="s">
        <v>30</v>
      </c>
      <c r="J172" s="7" t="s">
        <v>59</v>
      </c>
      <c r="K172" s="7" t="s">
        <v>27</v>
      </c>
      <c r="M172" s="13">
        <f t="shared" si="10"/>
        <v>4</v>
      </c>
      <c r="N172" s="14"/>
      <c r="O172" s="15">
        <f t="shared" si="11"/>
        <v>1.02381307591049</v>
      </c>
      <c r="P172" s="16"/>
      <c r="Q172" s="14">
        <f t="shared" si="12"/>
        <v>2</v>
      </c>
      <c r="R172" s="14"/>
      <c r="S172" s="14"/>
      <c r="T172" s="13" t="str">
        <f t="shared" si="13"/>
        <v>On-Time</v>
      </c>
      <c r="U172" s="14"/>
      <c r="V172" s="13" t="str">
        <f t="shared" si="14"/>
        <v>Low Quantity</v>
      </c>
      <c r="W172" s="16"/>
    </row>
    <row r="173" spans="1:23">
      <c r="A173" s="5" t="s">
        <v>232</v>
      </c>
      <c r="B173" s="6">
        <v>45408</v>
      </c>
      <c r="C173" s="7" t="s">
        <v>56</v>
      </c>
      <c r="D173" s="7" t="s">
        <v>18</v>
      </c>
      <c r="E173" s="8">
        <v>4264</v>
      </c>
      <c r="F173" s="9">
        <v>2817.94</v>
      </c>
      <c r="G173" s="6">
        <v>45411</v>
      </c>
      <c r="H173" s="6">
        <v>45418</v>
      </c>
      <c r="I173" s="7" t="s">
        <v>49</v>
      </c>
      <c r="J173" s="7" t="s">
        <v>26</v>
      </c>
      <c r="K173" s="7" t="s">
        <v>27</v>
      </c>
      <c r="M173" s="13">
        <f t="shared" si="10"/>
        <v>7</v>
      </c>
      <c r="N173" s="14"/>
      <c r="O173" s="15">
        <f t="shared" si="11"/>
        <v>0.660867729831145</v>
      </c>
      <c r="P173" s="16"/>
      <c r="Q173" s="14">
        <f t="shared" si="12"/>
        <v>3</v>
      </c>
      <c r="R173" s="14"/>
      <c r="S173" s="14"/>
      <c r="T173" s="13" t="str">
        <f t="shared" si="13"/>
        <v>On-Time</v>
      </c>
      <c r="U173" s="14"/>
      <c r="V173" s="13" t="str">
        <f t="shared" si="14"/>
        <v>High Quantity</v>
      </c>
      <c r="W173" s="16"/>
    </row>
    <row r="174" spans="1:23">
      <c r="A174" s="5" t="s">
        <v>233</v>
      </c>
      <c r="B174" s="6">
        <v>45462</v>
      </c>
      <c r="C174" s="7" t="s">
        <v>79</v>
      </c>
      <c r="D174" s="7" t="s">
        <v>39</v>
      </c>
      <c r="E174" s="5">
        <v>227</v>
      </c>
      <c r="F174" s="9">
        <v>14759.69</v>
      </c>
      <c r="G174" s="6">
        <v>45465</v>
      </c>
      <c r="H174" s="6">
        <v>45472</v>
      </c>
      <c r="I174" s="7" t="s">
        <v>49</v>
      </c>
      <c r="J174" s="7" t="s">
        <v>26</v>
      </c>
      <c r="K174" s="7" t="s">
        <v>27</v>
      </c>
      <c r="M174" s="13">
        <f t="shared" si="10"/>
        <v>7</v>
      </c>
      <c r="N174" s="14"/>
      <c r="O174" s="15">
        <f t="shared" si="11"/>
        <v>65.0206607929515</v>
      </c>
      <c r="P174" s="16"/>
      <c r="Q174" s="14">
        <f t="shared" si="12"/>
        <v>3</v>
      </c>
      <c r="R174" s="14"/>
      <c r="S174" s="14"/>
      <c r="T174" s="13" t="str">
        <f t="shared" si="13"/>
        <v>On-Time</v>
      </c>
      <c r="U174" s="14"/>
      <c r="V174" s="13" t="str">
        <f t="shared" si="14"/>
        <v>Low Quantity</v>
      </c>
      <c r="W174" s="16"/>
    </row>
    <row r="175" spans="1:23">
      <c r="A175" s="5" t="s">
        <v>234</v>
      </c>
      <c r="B175" s="6">
        <v>45378</v>
      </c>
      <c r="C175" s="7" t="s">
        <v>87</v>
      </c>
      <c r="D175" s="7" t="s">
        <v>100</v>
      </c>
      <c r="E175" s="8">
        <v>1399</v>
      </c>
      <c r="F175" s="9">
        <v>5030.58</v>
      </c>
      <c r="G175" s="6">
        <v>45381</v>
      </c>
      <c r="H175" s="6">
        <v>45393</v>
      </c>
      <c r="I175" s="7" t="s">
        <v>30</v>
      </c>
      <c r="J175" s="7" t="s">
        <v>44</v>
      </c>
      <c r="K175" s="7" t="s">
        <v>27</v>
      </c>
      <c r="M175" s="13">
        <f t="shared" si="10"/>
        <v>12</v>
      </c>
      <c r="N175" s="14"/>
      <c r="O175" s="15">
        <f t="shared" si="11"/>
        <v>3.59583988563259</v>
      </c>
      <c r="P175" s="16"/>
      <c r="Q175" s="14">
        <f t="shared" si="12"/>
        <v>3</v>
      </c>
      <c r="R175" s="14"/>
      <c r="S175" s="14"/>
      <c r="T175" s="13" t="str">
        <f t="shared" si="13"/>
        <v>On-Time</v>
      </c>
      <c r="U175" s="14"/>
      <c r="V175" s="13" t="str">
        <f t="shared" si="14"/>
        <v>Low Quantity</v>
      </c>
      <c r="W175" s="16"/>
    </row>
    <row r="176" spans="1:23">
      <c r="A176" s="5" t="s">
        <v>235</v>
      </c>
      <c r="B176" s="6">
        <v>45405</v>
      </c>
      <c r="C176" s="7" t="s">
        <v>58</v>
      </c>
      <c r="D176" s="7" t="s">
        <v>81</v>
      </c>
      <c r="E176" s="8">
        <v>3489</v>
      </c>
      <c r="F176" s="9">
        <v>456.53</v>
      </c>
      <c r="G176" s="6">
        <v>45407</v>
      </c>
      <c r="H176" s="6">
        <v>45409</v>
      </c>
      <c r="I176" s="7" t="s">
        <v>19</v>
      </c>
      <c r="J176" s="7" t="s">
        <v>26</v>
      </c>
      <c r="K176" s="7" t="s">
        <v>27</v>
      </c>
      <c r="M176" s="13">
        <f t="shared" si="10"/>
        <v>2</v>
      </c>
      <c r="N176" s="14"/>
      <c r="O176" s="15">
        <f t="shared" si="11"/>
        <v>0.130848380624821</v>
      </c>
      <c r="P176" s="16"/>
      <c r="Q176" s="14">
        <f t="shared" si="12"/>
        <v>2</v>
      </c>
      <c r="R176" s="14"/>
      <c r="S176" s="14"/>
      <c r="T176" s="13" t="str">
        <f t="shared" si="13"/>
        <v>On-Time</v>
      </c>
      <c r="U176" s="14"/>
      <c r="V176" s="13" t="str">
        <f t="shared" si="14"/>
        <v>High Quantity</v>
      </c>
      <c r="W176" s="16"/>
    </row>
    <row r="177" spans="1:23">
      <c r="A177" s="5" t="s">
        <v>236</v>
      </c>
      <c r="B177" s="6">
        <v>45575</v>
      </c>
      <c r="C177" s="7" t="s">
        <v>76</v>
      </c>
      <c r="D177" s="7" t="s">
        <v>34</v>
      </c>
      <c r="E177" s="8">
        <v>4557</v>
      </c>
      <c r="F177" s="9">
        <v>33757.5</v>
      </c>
      <c r="G177" s="6">
        <v>45577</v>
      </c>
      <c r="H177" s="6">
        <v>45580</v>
      </c>
      <c r="I177" s="7" t="s">
        <v>49</v>
      </c>
      <c r="J177" s="7" t="s">
        <v>26</v>
      </c>
      <c r="K177" s="7" t="s">
        <v>27</v>
      </c>
      <c r="M177" s="13">
        <f t="shared" si="10"/>
        <v>3</v>
      </c>
      <c r="N177" s="14"/>
      <c r="O177" s="15">
        <f t="shared" si="11"/>
        <v>7.40783410138249</v>
      </c>
      <c r="P177" s="16"/>
      <c r="Q177" s="14">
        <f t="shared" si="12"/>
        <v>2</v>
      </c>
      <c r="R177" s="14"/>
      <c r="S177" s="14"/>
      <c r="T177" s="13" t="str">
        <f t="shared" si="13"/>
        <v>On-Time</v>
      </c>
      <c r="U177" s="14"/>
      <c r="V177" s="13" t="str">
        <f t="shared" si="14"/>
        <v>High Quantity</v>
      </c>
      <c r="W177" s="16"/>
    </row>
    <row r="178" spans="1:23">
      <c r="A178" s="5" t="s">
        <v>237</v>
      </c>
      <c r="B178" s="6">
        <v>45870</v>
      </c>
      <c r="C178" s="7" t="s">
        <v>79</v>
      </c>
      <c r="D178" s="7" t="s">
        <v>25</v>
      </c>
      <c r="E178" s="5">
        <v>99</v>
      </c>
      <c r="F178" s="9">
        <v>2539.1</v>
      </c>
      <c r="G178" s="6">
        <v>45873</v>
      </c>
      <c r="H178" s="6">
        <v>45877</v>
      </c>
      <c r="I178" s="7" t="s">
        <v>35</v>
      </c>
      <c r="J178" s="7" t="s">
        <v>26</v>
      </c>
      <c r="K178" s="7" t="s">
        <v>27</v>
      </c>
      <c r="M178" s="13">
        <f t="shared" si="10"/>
        <v>4</v>
      </c>
      <c r="N178" s="14"/>
      <c r="O178" s="15">
        <f t="shared" si="11"/>
        <v>25.6474747474747</v>
      </c>
      <c r="P178" s="16"/>
      <c r="Q178" s="14">
        <f t="shared" si="12"/>
        <v>3</v>
      </c>
      <c r="R178" s="14"/>
      <c r="S178" s="14"/>
      <c r="T178" s="13" t="str">
        <f t="shared" si="13"/>
        <v>On-Time</v>
      </c>
      <c r="U178" s="14"/>
      <c r="V178" s="13" t="str">
        <f t="shared" si="14"/>
        <v>Low Quantity</v>
      </c>
      <c r="W178" s="16"/>
    </row>
    <row r="179" spans="1:23">
      <c r="A179" s="5" t="s">
        <v>238</v>
      </c>
      <c r="B179" s="6">
        <v>45838</v>
      </c>
      <c r="C179" s="7" t="s">
        <v>54</v>
      </c>
      <c r="D179" s="7" t="s">
        <v>77</v>
      </c>
      <c r="E179" s="8">
        <v>3351</v>
      </c>
      <c r="F179" s="9">
        <v>10825.98</v>
      </c>
      <c r="G179" s="6">
        <v>45840</v>
      </c>
      <c r="H179" s="6">
        <v>45876</v>
      </c>
      <c r="I179" s="7" t="s">
        <v>19</v>
      </c>
      <c r="J179" s="7" t="s">
        <v>20</v>
      </c>
      <c r="K179" s="7" t="s">
        <v>21</v>
      </c>
      <c r="M179" s="13">
        <f t="shared" si="10"/>
        <v>36</v>
      </c>
      <c r="N179" s="14"/>
      <c r="O179" s="15">
        <f t="shared" si="11"/>
        <v>3.23067144136079</v>
      </c>
      <c r="P179" s="16"/>
      <c r="Q179" s="14">
        <f t="shared" si="12"/>
        <v>2</v>
      </c>
      <c r="R179" s="14"/>
      <c r="S179" s="14"/>
      <c r="T179" s="13" t="str">
        <f t="shared" si="13"/>
        <v>Delayed</v>
      </c>
      <c r="U179" s="14"/>
      <c r="V179" s="13" t="str">
        <f t="shared" si="14"/>
        <v>High Quantity</v>
      </c>
      <c r="W179" s="16"/>
    </row>
    <row r="180" spans="1:23">
      <c r="A180" s="5" t="s">
        <v>239</v>
      </c>
      <c r="B180" s="6">
        <v>45657</v>
      </c>
      <c r="C180" s="7" t="s">
        <v>54</v>
      </c>
      <c r="D180" s="7" t="s">
        <v>25</v>
      </c>
      <c r="E180" s="8">
        <v>4791</v>
      </c>
      <c r="F180" s="9">
        <v>4320.01</v>
      </c>
      <c r="G180" s="6">
        <v>45658</v>
      </c>
      <c r="H180" s="6">
        <v>45665</v>
      </c>
      <c r="I180" s="7" t="s">
        <v>19</v>
      </c>
      <c r="J180" s="7" t="s">
        <v>26</v>
      </c>
      <c r="K180" s="7" t="s">
        <v>27</v>
      </c>
      <c r="M180" s="13">
        <f t="shared" si="10"/>
        <v>7</v>
      </c>
      <c r="N180" s="14"/>
      <c r="O180" s="15">
        <f t="shared" si="11"/>
        <v>0.901692757253183</v>
      </c>
      <c r="P180" s="16"/>
      <c r="Q180" s="14">
        <f t="shared" si="12"/>
        <v>1</v>
      </c>
      <c r="R180" s="14"/>
      <c r="S180" s="14"/>
      <c r="T180" s="13" t="str">
        <f t="shared" si="13"/>
        <v>On-Time</v>
      </c>
      <c r="U180" s="14"/>
      <c r="V180" s="13" t="str">
        <f t="shared" si="14"/>
        <v>High Quantity</v>
      </c>
      <c r="W180" s="16"/>
    </row>
    <row r="181" spans="1:23">
      <c r="A181" s="5" t="s">
        <v>240</v>
      </c>
      <c r="B181" s="6">
        <v>45341</v>
      </c>
      <c r="C181" s="7" t="s">
        <v>79</v>
      </c>
      <c r="D181" s="7" t="s">
        <v>39</v>
      </c>
      <c r="E181" s="8">
        <v>4035</v>
      </c>
      <c r="F181" s="9">
        <v>18910.12</v>
      </c>
      <c r="G181" s="6">
        <v>45344</v>
      </c>
      <c r="H181" s="6">
        <v>45358</v>
      </c>
      <c r="I181" s="7" t="s">
        <v>19</v>
      </c>
      <c r="J181" s="7" t="s">
        <v>44</v>
      </c>
      <c r="K181" s="7" t="s">
        <v>21</v>
      </c>
      <c r="M181" s="13">
        <f t="shared" si="10"/>
        <v>14</v>
      </c>
      <c r="N181" s="14"/>
      <c r="O181" s="15">
        <f t="shared" si="11"/>
        <v>4.6865229244114</v>
      </c>
      <c r="P181" s="16"/>
      <c r="Q181" s="14">
        <f t="shared" si="12"/>
        <v>3</v>
      </c>
      <c r="R181" s="14"/>
      <c r="S181" s="14"/>
      <c r="T181" s="13" t="str">
        <f t="shared" si="13"/>
        <v>Delayed</v>
      </c>
      <c r="U181" s="14"/>
      <c r="V181" s="13" t="str">
        <f t="shared" si="14"/>
        <v>High Quantity</v>
      </c>
      <c r="W181" s="16"/>
    </row>
    <row r="182" spans="1:23">
      <c r="A182" s="5" t="s">
        <v>241</v>
      </c>
      <c r="B182" s="6">
        <v>45532</v>
      </c>
      <c r="C182" s="7" t="s">
        <v>17</v>
      </c>
      <c r="D182" s="7" t="s">
        <v>39</v>
      </c>
      <c r="E182" s="5">
        <v>345</v>
      </c>
      <c r="F182" s="9">
        <v>7684.71</v>
      </c>
      <c r="G182" s="6">
        <v>45535</v>
      </c>
      <c r="H182" s="6">
        <v>45544</v>
      </c>
      <c r="I182" s="7" t="s">
        <v>19</v>
      </c>
      <c r="J182" s="7" t="s">
        <v>26</v>
      </c>
      <c r="K182" s="7" t="s">
        <v>21</v>
      </c>
      <c r="M182" s="13">
        <f t="shared" si="10"/>
        <v>9</v>
      </c>
      <c r="N182" s="14"/>
      <c r="O182" s="15">
        <f t="shared" si="11"/>
        <v>22.2745217391304</v>
      </c>
      <c r="P182" s="16"/>
      <c r="Q182" s="14">
        <f t="shared" si="12"/>
        <v>3</v>
      </c>
      <c r="R182" s="14"/>
      <c r="S182" s="14"/>
      <c r="T182" s="13" t="str">
        <f t="shared" si="13"/>
        <v>Delayed</v>
      </c>
      <c r="U182" s="14"/>
      <c r="V182" s="13" t="str">
        <f t="shared" si="14"/>
        <v>Low Quantity</v>
      </c>
      <c r="W182" s="16"/>
    </row>
    <row r="183" spans="1:23">
      <c r="A183" s="5" t="s">
        <v>242</v>
      </c>
      <c r="B183" s="6">
        <v>45395</v>
      </c>
      <c r="C183" s="7" t="s">
        <v>94</v>
      </c>
      <c r="D183" s="7" t="s">
        <v>46</v>
      </c>
      <c r="E183" s="8">
        <v>2404</v>
      </c>
      <c r="F183" s="9">
        <v>5383.26</v>
      </c>
      <c r="G183" s="6">
        <v>45397</v>
      </c>
      <c r="H183" s="6">
        <v>45405</v>
      </c>
      <c r="I183" s="7" t="s">
        <v>30</v>
      </c>
      <c r="J183" s="7" t="s">
        <v>44</v>
      </c>
      <c r="K183" s="7" t="s">
        <v>27</v>
      </c>
      <c r="M183" s="13">
        <f t="shared" si="10"/>
        <v>8</v>
      </c>
      <c r="N183" s="14"/>
      <c r="O183" s="15">
        <f t="shared" si="11"/>
        <v>2.2392928452579</v>
      </c>
      <c r="P183" s="16"/>
      <c r="Q183" s="14">
        <f t="shared" si="12"/>
        <v>2</v>
      </c>
      <c r="R183" s="14"/>
      <c r="S183" s="14"/>
      <c r="T183" s="13" t="str">
        <f t="shared" si="13"/>
        <v>On-Time</v>
      </c>
      <c r="U183" s="14"/>
      <c r="V183" s="13" t="str">
        <f t="shared" si="14"/>
        <v>Low Quantity</v>
      </c>
      <c r="W183" s="16"/>
    </row>
    <row r="184" spans="1:23">
      <c r="A184" s="5" t="s">
        <v>243</v>
      </c>
      <c r="B184" s="6">
        <v>45728</v>
      </c>
      <c r="C184" s="7" t="s">
        <v>33</v>
      </c>
      <c r="D184" s="7" t="s">
        <v>18</v>
      </c>
      <c r="E184" s="8">
        <v>1849</v>
      </c>
      <c r="F184" s="9">
        <v>5861.31</v>
      </c>
      <c r="G184" s="6">
        <v>45729</v>
      </c>
      <c r="H184" s="6">
        <v>45730</v>
      </c>
      <c r="I184" s="7" t="s">
        <v>49</v>
      </c>
      <c r="J184" s="7" t="s">
        <v>59</v>
      </c>
      <c r="K184" s="7" t="s">
        <v>27</v>
      </c>
      <c r="M184" s="13">
        <f t="shared" si="10"/>
        <v>1</v>
      </c>
      <c r="N184" s="14"/>
      <c r="O184" s="15">
        <f t="shared" si="11"/>
        <v>3.16998918334235</v>
      </c>
      <c r="P184" s="16"/>
      <c r="Q184" s="14">
        <f t="shared" si="12"/>
        <v>1</v>
      </c>
      <c r="R184" s="14"/>
      <c r="S184" s="14"/>
      <c r="T184" s="13" t="str">
        <f t="shared" si="13"/>
        <v>On-Time</v>
      </c>
      <c r="U184" s="14"/>
      <c r="V184" s="13" t="str">
        <f t="shared" si="14"/>
        <v>Low Quantity</v>
      </c>
      <c r="W184" s="16"/>
    </row>
    <row r="185" spans="1:23">
      <c r="A185" s="5" t="s">
        <v>244</v>
      </c>
      <c r="B185" s="6">
        <v>45836</v>
      </c>
      <c r="C185" s="7" t="s">
        <v>54</v>
      </c>
      <c r="D185" s="7" t="s">
        <v>39</v>
      </c>
      <c r="E185" s="8">
        <v>2903</v>
      </c>
      <c r="F185" s="9">
        <v>4907.52</v>
      </c>
      <c r="G185" s="6">
        <v>45837</v>
      </c>
      <c r="H185" s="6">
        <v>45844</v>
      </c>
      <c r="I185" s="7" t="s">
        <v>49</v>
      </c>
      <c r="J185" s="7" t="s">
        <v>26</v>
      </c>
      <c r="K185" s="7" t="s">
        <v>27</v>
      </c>
      <c r="M185" s="13">
        <f t="shared" si="10"/>
        <v>7</v>
      </c>
      <c r="N185" s="14"/>
      <c r="O185" s="15">
        <f t="shared" si="11"/>
        <v>1.69049948329315</v>
      </c>
      <c r="P185" s="16"/>
      <c r="Q185" s="14">
        <f t="shared" si="12"/>
        <v>1</v>
      </c>
      <c r="R185" s="14"/>
      <c r="S185" s="14"/>
      <c r="T185" s="13" t="str">
        <f t="shared" si="13"/>
        <v>On-Time</v>
      </c>
      <c r="U185" s="14"/>
      <c r="V185" s="13" t="str">
        <f t="shared" si="14"/>
        <v>Low Quantity</v>
      </c>
      <c r="W185" s="16"/>
    </row>
    <row r="186" spans="1:23">
      <c r="A186" s="5" t="s">
        <v>245</v>
      </c>
      <c r="B186" s="6">
        <v>45891</v>
      </c>
      <c r="C186" s="7" t="s">
        <v>56</v>
      </c>
      <c r="D186" s="7" t="s">
        <v>81</v>
      </c>
      <c r="E186" s="8">
        <v>2364</v>
      </c>
      <c r="F186" s="9">
        <v>661.49</v>
      </c>
      <c r="G186" s="6">
        <v>45893</v>
      </c>
      <c r="H186" s="6">
        <v>45924</v>
      </c>
      <c r="I186" s="7" t="s">
        <v>35</v>
      </c>
      <c r="J186" s="7" t="s">
        <v>20</v>
      </c>
      <c r="K186" s="7" t="s">
        <v>27</v>
      </c>
      <c r="M186" s="13">
        <f t="shared" si="10"/>
        <v>31</v>
      </c>
      <c r="N186" s="14"/>
      <c r="O186" s="15">
        <f t="shared" si="11"/>
        <v>0.279818104906937</v>
      </c>
      <c r="P186" s="16"/>
      <c r="Q186" s="14">
        <f t="shared" si="12"/>
        <v>2</v>
      </c>
      <c r="R186" s="14"/>
      <c r="S186" s="14"/>
      <c r="T186" s="13" t="str">
        <f t="shared" si="13"/>
        <v>On-Time</v>
      </c>
      <c r="U186" s="14"/>
      <c r="V186" s="13" t="str">
        <f t="shared" si="14"/>
        <v>Low Quantity</v>
      </c>
      <c r="W186" s="16"/>
    </row>
    <row r="187" spans="1:23">
      <c r="A187" s="5" t="s">
        <v>246</v>
      </c>
      <c r="B187" s="6">
        <v>45636</v>
      </c>
      <c r="C187" s="7" t="s">
        <v>24</v>
      </c>
      <c r="D187" s="7" t="s">
        <v>18</v>
      </c>
      <c r="E187" s="8">
        <v>2395</v>
      </c>
      <c r="F187" s="9">
        <v>8272.48</v>
      </c>
      <c r="G187" s="6">
        <v>45638</v>
      </c>
      <c r="H187" s="6">
        <v>45667</v>
      </c>
      <c r="I187" s="7" t="s">
        <v>19</v>
      </c>
      <c r="J187" s="7" t="s">
        <v>20</v>
      </c>
      <c r="K187" s="7" t="s">
        <v>27</v>
      </c>
      <c r="M187" s="13">
        <f t="shared" si="10"/>
        <v>29</v>
      </c>
      <c r="N187" s="14"/>
      <c r="O187" s="15">
        <f t="shared" si="11"/>
        <v>3.45406263048017</v>
      </c>
      <c r="P187" s="16"/>
      <c r="Q187" s="14">
        <f t="shared" si="12"/>
        <v>2</v>
      </c>
      <c r="R187" s="14"/>
      <c r="S187" s="14"/>
      <c r="T187" s="13" t="str">
        <f t="shared" si="13"/>
        <v>On-Time</v>
      </c>
      <c r="U187" s="14"/>
      <c r="V187" s="13" t="str">
        <f t="shared" si="14"/>
        <v>Low Quantity</v>
      </c>
      <c r="W187" s="16"/>
    </row>
    <row r="188" spans="1:23">
      <c r="A188" s="5" t="s">
        <v>247</v>
      </c>
      <c r="B188" s="6">
        <v>45994</v>
      </c>
      <c r="C188" s="7" t="s">
        <v>17</v>
      </c>
      <c r="D188" s="7" t="s">
        <v>41</v>
      </c>
      <c r="E188" s="8">
        <v>1234</v>
      </c>
      <c r="F188" s="9">
        <v>716.37</v>
      </c>
      <c r="G188" s="6">
        <v>45995</v>
      </c>
      <c r="H188" s="6">
        <v>45996</v>
      </c>
      <c r="I188" s="7" t="s">
        <v>30</v>
      </c>
      <c r="J188" s="7" t="s">
        <v>59</v>
      </c>
      <c r="K188" s="7" t="s">
        <v>27</v>
      </c>
      <c r="M188" s="13">
        <f t="shared" si="10"/>
        <v>1</v>
      </c>
      <c r="N188" s="14"/>
      <c r="O188" s="15">
        <f t="shared" si="11"/>
        <v>0.580526742301459</v>
      </c>
      <c r="P188" s="16"/>
      <c r="Q188" s="14">
        <f t="shared" si="12"/>
        <v>1</v>
      </c>
      <c r="R188" s="14"/>
      <c r="S188" s="14"/>
      <c r="T188" s="13" t="str">
        <f t="shared" si="13"/>
        <v>On-Time</v>
      </c>
      <c r="U188" s="14"/>
      <c r="V188" s="13" t="str">
        <f t="shared" si="14"/>
        <v>Low Quantity</v>
      </c>
      <c r="W188" s="16"/>
    </row>
    <row r="189" spans="1:23">
      <c r="A189" s="5" t="s">
        <v>248</v>
      </c>
      <c r="B189" s="6">
        <v>45896</v>
      </c>
      <c r="C189" s="7" t="s">
        <v>56</v>
      </c>
      <c r="D189" s="7" t="s">
        <v>18</v>
      </c>
      <c r="E189" s="8">
        <v>4722</v>
      </c>
      <c r="F189" s="9">
        <v>871.61</v>
      </c>
      <c r="G189" s="6">
        <v>45897</v>
      </c>
      <c r="H189" s="6">
        <v>45912</v>
      </c>
      <c r="I189" s="7" t="s">
        <v>49</v>
      </c>
      <c r="J189" s="7" t="s">
        <v>44</v>
      </c>
      <c r="K189" s="7" t="s">
        <v>21</v>
      </c>
      <c r="M189" s="13">
        <f t="shared" si="10"/>
        <v>15</v>
      </c>
      <c r="N189" s="14"/>
      <c r="O189" s="15">
        <f t="shared" si="11"/>
        <v>0.184584921643371</v>
      </c>
      <c r="P189" s="16"/>
      <c r="Q189" s="14">
        <f t="shared" si="12"/>
        <v>1</v>
      </c>
      <c r="R189" s="14"/>
      <c r="S189" s="14"/>
      <c r="T189" s="13" t="str">
        <f t="shared" si="13"/>
        <v>Delayed</v>
      </c>
      <c r="U189" s="14"/>
      <c r="V189" s="13" t="str">
        <f t="shared" si="14"/>
        <v>High Quantity</v>
      </c>
      <c r="W189" s="16"/>
    </row>
    <row r="190" spans="1:23">
      <c r="A190" s="5" t="s">
        <v>249</v>
      </c>
      <c r="B190" s="6">
        <v>45354</v>
      </c>
      <c r="C190" s="7" t="s">
        <v>54</v>
      </c>
      <c r="D190" s="7" t="s">
        <v>77</v>
      </c>
      <c r="E190" s="8">
        <v>3326</v>
      </c>
      <c r="F190" s="9">
        <v>10122.99</v>
      </c>
      <c r="G190" s="6">
        <v>45355</v>
      </c>
      <c r="H190" s="6">
        <v>45365</v>
      </c>
      <c r="I190" s="7" t="s">
        <v>30</v>
      </c>
      <c r="J190" s="7" t="s">
        <v>44</v>
      </c>
      <c r="K190" s="7" t="s">
        <v>27</v>
      </c>
      <c r="M190" s="13">
        <f t="shared" si="10"/>
        <v>10</v>
      </c>
      <c r="N190" s="14"/>
      <c r="O190" s="15">
        <f t="shared" si="11"/>
        <v>3.04359290438966</v>
      </c>
      <c r="P190" s="16"/>
      <c r="Q190" s="14">
        <f t="shared" si="12"/>
        <v>1</v>
      </c>
      <c r="R190" s="14"/>
      <c r="S190" s="14"/>
      <c r="T190" s="13" t="str">
        <f t="shared" si="13"/>
        <v>On-Time</v>
      </c>
      <c r="U190" s="14"/>
      <c r="V190" s="13" t="str">
        <f t="shared" si="14"/>
        <v>High Quantity</v>
      </c>
      <c r="W190" s="16"/>
    </row>
    <row r="191" spans="1:23">
      <c r="A191" s="5" t="s">
        <v>250</v>
      </c>
      <c r="B191" s="6">
        <v>45710</v>
      </c>
      <c r="C191" s="7" t="s">
        <v>54</v>
      </c>
      <c r="D191" s="7" t="s">
        <v>77</v>
      </c>
      <c r="E191" s="8">
        <v>3660</v>
      </c>
      <c r="F191" s="9">
        <v>8540.85</v>
      </c>
      <c r="G191" s="6">
        <v>45713</v>
      </c>
      <c r="H191" s="6">
        <v>45715</v>
      </c>
      <c r="I191" s="7" t="s">
        <v>19</v>
      </c>
      <c r="J191" s="7" t="s">
        <v>26</v>
      </c>
      <c r="K191" s="7" t="s">
        <v>27</v>
      </c>
      <c r="M191" s="13">
        <f t="shared" si="10"/>
        <v>2</v>
      </c>
      <c r="N191" s="14"/>
      <c r="O191" s="15">
        <f t="shared" si="11"/>
        <v>2.33356557377049</v>
      </c>
      <c r="P191" s="16"/>
      <c r="Q191" s="14">
        <f t="shared" si="12"/>
        <v>3</v>
      </c>
      <c r="R191" s="14"/>
      <c r="S191" s="14"/>
      <c r="T191" s="13" t="str">
        <f t="shared" si="13"/>
        <v>On-Time</v>
      </c>
      <c r="U191" s="14"/>
      <c r="V191" s="13" t="str">
        <f t="shared" si="14"/>
        <v>High Quantity</v>
      </c>
      <c r="W191" s="16"/>
    </row>
    <row r="192" spans="1:23">
      <c r="A192" s="5" t="s">
        <v>251</v>
      </c>
      <c r="B192" s="6">
        <v>45576</v>
      </c>
      <c r="C192" s="7" t="s">
        <v>38</v>
      </c>
      <c r="D192" s="7" t="s">
        <v>25</v>
      </c>
      <c r="E192" s="8">
        <v>3058</v>
      </c>
      <c r="F192" s="9">
        <v>4796.16</v>
      </c>
      <c r="G192" s="6">
        <v>45578</v>
      </c>
      <c r="H192" s="6">
        <v>45581</v>
      </c>
      <c r="I192" s="7" t="s">
        <v>30</v>
      </c>
      <c r="J192" s="7" t="s">
        <v>59</v>
      </c>
      <c r="K192" s="7" t="s">
        <v>27</v>
      </c>
      <c r="M192" s="13">
        <f t="shared" si="10"/>
        <v>3</v>
      </c>
      <c r="N192" s="14"/>
      <c r="O192" s="15">
        <f t="shared" si="11"/>
        <v>1.56839764551995</v>
      </c>
      <c r="P192" s="16"/>
      <c r="Q192" s="14">
        <f t="shared" si="12"/>
        <v>2</v>
      </c>
      <c r="R192" s="14"/>
      <c r="S192" s="14"/>
      <c r="T192" s="13" t="str">
        <f t="shared" si="13"/>
        <v>On-Time</v>
      </c>
      <c r="U192" s="14"/>
      <c r="V192" s="13" t="str">
        <f t="shared" si="14"/>
        <v>High Quantity</v>
      </c>
      <c r="W192" s="16"/>
    </row>
    <row r="193" spans="1:23">
      <c r="A193" s="5" t="s">
        <v>252</v>
      </c>
      <c r="B193" s="6">
        <v>45968</v>
      </c>
      <c r="C193" s="7" t="s">
        <v>79</v>
      </c>
      <c r="D193" s="7" t="s">
        <v>81</v>
      </c>
      <c r="E193" s="8">
        <v>1534</v>
      </c>
      <c r="F193" s="9">
        <v>1632.78</v>
      </c>
      <c r="G193" s="6">
        <v>45971</v>
      </c>
      <c r="H193" s="6">
        <v>46008</v>
      </c>
      <c r="I193" s="7" t="s">
        <v>19</v>
      </c>
      <c r="J193" s="7" t="s">
        <v>20</v>
      </c>
      <c r="K193" s="7" t="s">
        <v>21</v>
      </c>
      <c r="M193" s="13">
        <f t="shared" si="10"/>
        <v>37</v>
      </c>
      <c r="N193" s="14"/>
      <c r="O193" s="15">
        <f t="shared" si="11"/>
        <v>1.06439374185137</v>
      </c>
      <c r="P193" s="16"/>
      <c r="Q193" s="14">
        <f t="shared" si="12"/>
        <v>3</v>
      </c>
      <c r="R193" s="14"/>
      <c r="S193" s="14"/>
      <c r="T193" s="13" t="str">
        <f t="shared" si="13"/>
        <v>Delayed</v>
      </c>
      <c r="U193" s="14"/>
      <c r="V193" s="13" t="str">
        <f t="shared" si="14"/>
        <v>Low Quantity</v>
      </c>
      <c r="W193" s="16"/>
    </row>
    <row r="194" spans="1:23">
      <c r="A194" s="5" t="s">
        <v>253</v>
      </c>
      <c r="B194" s="6">
        <v>46004</v>
      </c>
      <c r="C194" s="7" t="s">
        <v>17</v>
      </c>
      <c r="D194" s="7" t="s">
        <v>100</v>
      </c>
      <c r="E194" s="8">
        <v>1359</v>
      </c>
      <c r="F194" s="9">
        <v>3545.65</v>
      </c>
      <c r="G194" s="6">
        <v>46007</v>
      </c>
      <c r="H194" s="6">
        <v>46026</v>
      </c>
      <c r="I194" s="7" t="s">
        <v>30</v>
      </c>
      <c r="J194" s="7" t="s">
        <v>20</v>
      </c>
      <c r="K194" s="7" t="s">
        <v>27</v>
      </c>
      <c r="M194" s="13">
        <f t="shared" si="10"/>
        <v>19</v>
      </c>
      <c r="N194" s="14"/>
      <c r="O194" s="15">
        <f t="shared" si="11"/>
        <v>2.60901398086829</v>
      </c>
      <c r="P194" s="16"/>
      <c r="Q194" s="14">
        <f t="shared" si="12"/>
        <v>3</v>
      </c>
      <c r="R194" s="14"/>
      <c r="S194" s="14"/>
      <c r="T194" s="13" t="str">
        <f t="shared" si="13"/>
        <v>On-Time</v>
      </c>
      <c r="U194" s="14"/>
      <c r="V194" s="13" t="str">
        <f t="shared" si="14"/>
        <v>Low Quantity</v>
      </c>
      <c r="W194" s="16"/>
    </row>
    <row r="195" spans="1:23">
      <c r="A195" s="5" t="s">
        <v>254</v>
      </c>
      <c r="B195" s="6">
        <v>45842</v>
      </c>
      <c r="C195" s="7" t="s">
        <v>38</v>
      </c>
      <c r="D195" s="7" t="s">
        <v>81</v>
      </c>
      <c r="E195" s="8">
        <v>2328</v>
      </c>
      <c r="F195" s="9">
        <v>1988.75</v>
      </c>
      <c r="G195" s="6">
        <v>45845</v>
      </c>
      <c r="H195" s="6">
        <v>45849</v>
      </c>
      <c r="I195" s="7" t="s">
        <v>19</v>
      </c>
      <c r="J195" s="7" t="s">
        <v>59</v>
      </c>
      <c r="K195" s="7" t="s">
        <v>27</v>
      </c>
      <c r="M195" s="13">
        <f t="shared" ref="M195:M258" si="15">H195-G195</f>
        <v>4</v>
      </c>
      <c r="N195" s="14"/>
      <c r="O195" s="15">
        <f t="shared" ref="O195:O258" si="16">F195/E195</f>
        <v>0.854274054982818</v>
      </c>
      <c r="P195" s="16"/>
      <c r="Q195" s="14">
        <f t="shared" ref="Q195:Q258" si="17">G195-B195</f>
        <v>3</v>
      </c>
      <c r="R195" s="14"/>
      <c r="S195" s="14"/>
      <c r="T195" s="13" t="str">
        <f t="shared" ref="T195:T258" si="18">IF(K195="Yes","On-Time","Delayed")</f>
        <v>On-Time</v>
      </c>
      <c r="U195" s="14"/>
      <c r="V195" s="13" t="str">
        <f t="shared" ref="V195:V258" si="19">IF(E195&gt;=3000,"High Quantity","Low Quantity")</f>
        <v>Low Quantity</v>
      </c>
      <c r="W195" s="16"/>
    </row>
    <row r="196" spans="1:23">
      <c r="A196" s="5" t="s">
        <v>255</v>
      </c>
      <c r="B196" s="6">
        <v>45658</v>
      </c>
      <c r="C196" s="7" t="s">
        <v>56</v>
      </c>
      <c r="D196" s="7" t="s">
        <v>77</v>
      </c>
      <c r="E196" s="8">
        <v>3240</v>
      </c>
      <c r="F196" s="9">
        <v>13642.93</v>
      </c>
      <c r="G196" s="6">
        <v>45659</v>
      </c>
      <c r="H196" s="6">
        <v>45698</v>
      </c>
      <c r="I196" s="7" t="s">
        <v>35</v>
      </c>
      <c r="J196" s="7" t="s">
        <v>20</v>
      </c>
      <c r="K196" s="7" t="s">
        <v>21</v>
      </c>
      <c r="M196" s="13">
        <f t="shared" si="15"/>
        <v>39</v>
      </c>
      <c r="N196" s="14"/>
      <c r="O196" s="15">
        <f t="shared" si="16"/>
        <v>4.21078086419753</v>
      </c>
      <c r="P196" s="16"/>
      <c r="Q196" s="14">
        <f t="shared" si="17"/>
        <v>1</v>
      </c>
      <c r="R196" s="14"/>
      <c r="S196" s="14"/>
      <c r="T196" s="13" t="str">
        <f t="shared" si="18"/>
        <v>Delayed</v>
      </c>
      <c r="U196" s="14"/>
      <c r="V196" s="13" t="str">
        <f t="shared" si="19"/>
        <v>High Quantity</v>
      </c>
      <c r="W196" s="16"/>
    </row>
    <row r="197" spans="1:23">
      <c r="A197" s="5" t="s">
        <v>256</v>
      </c>
      <c r="B197" s="6">
        <v>45750</v>
      </c>
      <c r="C197" s="7" t="s">
        <v>38</v>
      </c>
      <c r="D197" s="7" t="s">
        <v>25</v>
      </c>
      <c r="E197" s="8">
        <v>1057</v>
      </c>
      <c r="F197" s="9">
        <v>2401.16</v>
      </c>
      <c r="G197" s="6">
        <v>45752</v>
      </c>
      <c r="H197" s="6">
        <v>45757</v>
      </c>
      <c r="I197" s="7" t="s">
        <v>30</v>
      </c>
      <c r="J197" s="7" t="s">
        <v>59</v>
      </c>
      <c r="K197" s="7" t="s">
        <v>27</v>
      </c>
      <c r="M197" s="13">
        <f t="shared" si="15"/>
        <v>5</v>
      </c>
      <c r="N197" s="14"/>
      <c r="O197" s="15">
        <f t="shared" si="16"/>
        <v>2.27167455061495</v>
      </c>
      <c r="P197" s="16"/>
      <c r="Q197" s="14">
        <f t="shared" si="17"/>
        <v>2</v>
      </c>
      <c r="R197" s="14"/>
      <c r="S197" s="14"/>
      <c r="T197" s="13" t="str">
        <f t="shared" si="18"/>
        <v>On-Time</v>
      </c>
      <c r="U197" s="14"/>
      <c r="V197" s="13" t="str">
        <f t="shared" si="19"/>
        <v>Low Quantity</v>
      </c>
      <c r="W197" s="16"/>
    </row>
    <row r="198" spans="1:23">
      <c r="A198" s="5" t="s">
        <v>257</v>
      </c>
      <c r="B198" s="6">
        <v>45835</v>
      </c>
      <c r="C198" s="7" t="s">
        <v>94</v>
      </c>
      <c r="D198" s="7" t="s">
        <v>77</v>
      </c>
      <c r="E198" s="8">
        <v>2007</v>
      </c>
      <c r="F198" s="9">
        <v>4448.55</v>
      </c>
      <c r="G198" s="6">
        <v>45838</v>
      </c>
      <c r="H198" s="6">
        <v>45869</v>
      </c>
      <c r="I198" s="7" t="s">
        <v>30</v>
      </c>
      <c r="J198" s="7" t="s">
        <v>20</v>
      </c>
      <c r="K198" s="7" t="s">
        <v>27</v>
      </c>
      <c r="M198" s="13">
        <f t="shared" si="15"/>
        <v>31</v>
      </c>
      <c r="N198" s="14"/>
      <c r="O198" s="15">
        <f t="shared" si="16"/>
        <v>2.21651718983558</v>
      </c>
      <c r="P198" s="16"/>
      <c r="Q198" s="14">
        <f t="shared" si="17"/>
        <v>3</v>
      </c>
      <c r="R198" s="14"/>
      <c r="S198" s="14"/>
      <c r="T198" s="13" t="str">
        <f t="shared" si="18"/>
        <v>On-Time</v>
      </c>
      <c r="U198" s="14"/>
      <c r="V198" s="13" t="str">
        <f t="shared" si="19"/>
        <v>Low Quantity</v>
      </c>
      <c r="W198" s="16"/>
    </row>
    <row r="199" spans="1:23">
      <c r="A199" s="5" t="s">
        <v>258</v>
      </c>
      <c r="B199" s="6">
        <v>45482</v>
      </c>
      <c r="C199" s="7" t="s">
        <v>68</v>
      </c>
      <c r="D199" s="7" t="s">
        <v>34</v>
      </c>
      <c r="E199" s="8">
        <v>3806</v>
      </c>
      <c r="F199" s="9">
        <v>5434.27</v>
      </c>
      <c r="G199" s="6">
        <v>45484</v>
      </c>
      <c r="H199" s="6">
        <v>45489</v>
      </c>
      <c r="I199" s="7" t="s">
        <v>19</v>
      </c>
      <c r="J199" s="7" t="s">
        <v>26</v>
      </c>
      <c r="K199" s="7" t="s">
        <v>27</v>
      </c>
      <c r="M199" s="13">
        <f t="shared" si="15"/>
        <v>5</v>
      </c>
      <c r="N199" s="14"/>
      <c r="O199" s="15">
        <f t="shared" si="16"/>
        <v>1.42781660535996</v>
      </c>
      <c r="P199" s="16"/>
      <c r="Q199" s="14">
        <f t="shared" si="17"/>
        <v>2</v>
      </c>
      <c r="R199" s="14"/>
      <c r="S199" s="14"/>
      <c r="T199" s="13" t="str">
        <f t="shared" si="18"/>
        <v>On-Time</v>
      </c>
      <c r="U199" s="14"/>
      <c r="V199" s="13" t="str">
        <f t="shared" si="19"/>
        <v>High Quantity</v>
      </c>
      <c r="W199" s="16"/>
    </row>
    <row r="200" spans="1:23">
      <c r="A200" s="5" t="s">
        <v>259</v>
      </c>
      <c r="B200" s="6">
        <v>45335</v>
      </c>
      <c r="C200" s="7" t="s">
        <v>29</v>
      </c>
      <c r="D200" s="7" t="s">
        <v>81</v>
      </c>
      <c r="E200" s="5">
        <v>198</v>
      </c>
      <c r="F200" s="9">
        <v>611.02</v>
      </c>
      <c r="G200" s="6">
        <v>45337</v>
      </c>
      <c r="H200" s="6">
        <v>45343</v>
      </c>
      <c r="I200" s="7" t="s">
        <v>49</v>
      </c>
      <c r="J200" s="7" t="s">
        <v>26</v>
      </c>
      <c r="K200" s="7" t="s">
        <v>27</v>
      </c>
      <c r="M200" s="13">
        <f t="shared" si="15"/>
        <v>6</v>
      </c>
      <c r="N200" s="14"/>
      <c r="O200" s="15">
        <f t="shared" si="16"/>
        <v>3.0859595959596</v>
      </c>
      <c r="P200" s="16"/>
      <c r="Q200" s="14">
        <f t="shared" si="17"/>
        <v>2</v>
      </c>
      <c r="R200" s="14"/>
      <c r="S200" s="14"/>
      <c r="T200" s="13" t="str">
        <f t="shared" si="18"/>
        <v>On-Time</v>
      </c>
      <c r="U200" s="14"/>
      <c r="V200" s="13" t="str">
        <f t="shared" si="19"/>
        <v>Low Quantity</v>
      </c>
      <c r="W200" s="16"/>
    </row>
    <row r="201" spans="1:23">
      <c r="A201" s="5" t="s">
        <v>260</v>
      </c>
      <c r="B201" s="6">
        <v>45996</v>
      </c>
      <c r="C201" s="7" t="s">
        <v>38</v>
      </c>
      <c r="D201" s="7" t="s">
        <v>81</v>
      </c>
      <c r="E201" s="5">
        <v>595</v>
      </c>
      <c r="F201" s="9">
        <v>676.55</v>
      </c>
      <c r="G201" s="6">
        <v>45997</v>
      </c>
      <c r="H201" s="6">
        <v>46000</v>
      </c>
      <c r="I201" s="7" t="s">
        <v>49</v>
      </c>
      <c r="J201" s="7" t="s">
        <v>59</v>
      </c>
      <c r="K201" s="7" t="s">
        <v>27</v>
      </c>
      <c r="M201" s="13">
        <f t="shared" si="15"/>
        <v>3</v>
      </c>
      <c r="N201" s="14"/>
      <c r="O201" s="15">
        <f t="shared" si="16"/>
        <v>1.13705882352941</v>
      </c>
      <c r="P201" s="16"/>
      <c r="Q201" s="14">
        <f t="shared" si="17"/>
        <v>1</v>
      </c>
      <c r="R201" s="14"/>
      <c r="S201" s="14"/>
      <c r="T201" s="13" t="str">
        <f t="shared" si="18"/>
        <v>On-Time</v>
      </c>
      <c r="U201" s="14"/>
      <c r="V201" s="13" t="str">
        <f t="shared" si="19"/>
        <v>Low Quantity</v>
      </c>
      <c r="W201" s="16"/>
    </row>
    <row r="202" spans="1:23">
      <c r="A202" s="5" t="s">
        <v>261</v>
      </c>
      <c r="B202" s="6">
        <v>45539</v>
      </c>
      <c r="C202" s="7" t="s">
        <v>24</v>
      </c>
      <c r="D202" s="7" t="s">
        <v>77</v>
      </c>
      <c r="E202" s="8">
        <v>1394</v>
      </c>
      <c r="F202" s="9">
        <v>11229.17</v>
      </c>
      <c r="G202" s="6">
        <v>45542</v>
      </c>
      <c r="H202" s="6">
        <v>45551</v>
      </c>
      <c r="I202" s="7" t="s">
        <v>49</v>
      </c>
      <c r="J202" s="7" t="s">
        <v>26</v>
      </c>
      <c r="K202" s="7" t="s">
        <v>21</v>
      </c>
      <c r="M202" s="13">
        <f t="shared" si="15"/>
        <v>9</v>
      </c>
      <c r="N202" s="14"/>
      <c r="O202" s="15">
        <f t="shared" si="16"/>
        <v>8.05535868005739</v>
      </c>
      <c r="P202" s="16"/>
      <c r="Q202" s="14">
        <f t="shared" si="17"/>
        <v>3</v>
      </c>
      <c r="R202" s="14"/>
      <c r="S202" s="14"/>
      <c r="T202" s="13" t="str">
        <f t="shared" si="18"/>
        <v>Delayed</v>
      </c>
      <c r="U202" s="14"/>
      <c r="V202" s="13" t="str">
        <f t="shared" si="19"/>
        <v>Low Quantity</v>
      </c>
      <c r="W202" s="16"/>
    </row>
    <row r="203" spans="1:23">
      <c r="A203" s="5" t="s">
        <v>262</v>
      </c>
      <c r="B203" s="6">
        <v>45913</v>
      </c>
      <c r="C203" s="7" t="s">
        <v>92</v>
      </c>
      <c r="D203" s="7" t="s">
        <v>34</v>
      </c>
      <c r="E203" s="8">
        <v>3125</v>
      </c>
      <c r="F203" s="9">
        <v>6227.86</v>
      </c>
      <c r="G203" s="6">
        <v>45915</v>
      </c>
      <c r="H203" s="6">
        <v>45922</v>
      </c>
      <c r="I203" s="7" t="s">
        <v>19</v>
      </c>
      <c r="J203" s="7" t="s">
        <v>44</v>
      </c>
      <c r="K203" s="7" t="s">
        <v>27</v>
      </c>
      <c r="M203" s="13">
        <f t="shared" si="15"/>
        <v>7</v>
      </c>
      <c r="N203" s="14"/>
      <c r="O203" s="15">
        <f t="shared" si="16"/>
        <v>1.9929152</v>
      </c>
      <c r="P203" s="16"/>
      <c r="Q203" s="14">
        <f t="shared" si="17"/>
        <v>2</v>
      </c>
      <c r="R203" s="14"/>
      <c r="S203" s="14"/>
      <c r="T203" s="13" t="str">
        <f t="shared" si="18"/>
        <v>On-Time</v>
      </c>
      <c r="U203" s="14"/>
      <c r="V203" s="13" t="str">
        <f t="shared" si="19"/>
        <v>High Quantity</v>
      </c>
      <c r="W203" s="16"/>
    </row>
    <row r="204" spans="1:23">
      <c r="A204" s="5" t="s">
        <v>263</v>
      </c>
      <c r="B204" s="6">
        <v>45612</v>
      </c>
      <c r="C204" s="7" t="s">
        <v>24</v>
      </c>
      <c r="D204" s="7" t="s">
        <v>77</v>
      </c>
      <c r="E204" s="8">
        <v>2002</v>
      </c>
      <c r="F204" s="9">
        <v>3506.01</v>
      </c>
      <c r="G204" s="6">
        <v>45614</v>
      </c>
      <c r="H204" s="6">
        <v>45620</v>
      </c>
      <c r="I204" s="7" t="s">
        <v>35</v>
      </c>
      <c r="J204" s="7" t="s">
        <v>26</v>
      </c>
      <c r="K204" s="7" t="s">
        <v>27</v>
      </c>
      <c r="M204" s="13">
        <f t="shared" si="15"/>
        <v>6</v>
      </c>
      <c r="N204" s="14"/>
      <c r="O204" s="15">
        <f t="shared" si="16"/>
        <v>1.75125374625375</v>
      </c>
      <c r="P204" s="16"/>
      <c r="Q204" s="14">
        <f t="shared" si="17"/>
        <v>2</v>
      </c>
      <c r="R204" s="14"/>
      <c r="S204" s="14"/>
      <c r="T204" s="13" t="str">
        <f t="shared" si="18"/>
        <v>On-Time</v>
      </c>
      <c r="U204" s="14"/>
      <c r="V204" s="13" t="str">
        <f t="shared" si="19"/>
        <v>Low Quantity</v>
      </c>
      <c r="W204" s="16"/>
    </row>
    <row r="205" spans="1:23">
      <c r="A205" s="5" t="s">
        <v>264</v>
      </c>
      <c r="B205" s="6">
        <v>45437</v>
      </c>
      <c r="C205" s="7" t="s">
        <v>94</v>
      </c>
      <c r="D205" s="7" t="s">
        <v>39</v>
      </c>
      <c r="E205" s="8">
        <v>3163</v>
      </c>
      <c r="F205" s="9">
        <v>2203.32</v>
      </c>
      <c r="G205" s="6">
        <v>45438</v>
      </c>
      <c r="H205" s="6">
        <v>45459</v>
      </c>
      <c r="I205" s="7" t="s">
        <v>19</v>
      </c>
      <c r="J205" s="7" t="s">
        <v>20</v>
      </c>
      <c r="K205" s="7" t="s">
        <v>27</v>
      </c>
      <c r="M205" s="13">
        <f t="shared" si="15"/>
        <v>21</v>
      </c>
      <c r="N205" s="14"/>
      <c r="O205" s="15">
        <f t="shared" si="16"/>
        <v>0.696591843186848</v>
      </c>
      <c r="P205" s="16"/>
      <c r="Q205" s="14">
        <f t="shared" si="17"/>
        <v>1</v>
      </c>
      <c r="R205" s="14"/>
      <c r="S205" s="14"/>
      <c r="T205" s="13" t="str">
        <f t="shared" si="18"/>
        <v>On-Time</v>
      </c>
      <c r="U205" s="14"/>
      <c r="V205" s="13" t="str">
        <f t="shared" si="19"/>
        <v>High Quantity</v>
      </c>
      <c r="W205" s="16"/>
    </row>
    <row r="206" spans="1:23">
      <c r="A206" s="5" t="s">
        <v>265</v>
      </c>
      <c r="B206" s="6">
        <v>45777</v>
      </c>
      <c r="C206" s="7" t="s">
        <v>33</v>
      </c>
      <c r="D206" s="7" t="s">
        <v>100</v>
      </c>
      <c r="E206" s="8">
        <v>2645</v>
      </c>
      <c r="F206" s="9">
        <v>4632.84</v>
      </c>
      <c r="G206" s="6">
        <v>45778</v>
      </c>
      <c r="H206" s="6">
        <v>45780</v>
      </c>
      <c r="I206" s="7" t="s">
        <v>19</v>
      </c>
      <c r="J206" s="7" t="s">
        <v>26</v>
      </c>
      <c r="K206" s="7" t="s">
        <v>27</v>
      </c>
      <c r="M206" s="13">
        <f t="shared" si="15"/>
        <v>2</v>
      </c>
      <c r="N206" s="14"/>
      <c r="O206" s="15">
        <f t="shared" si="16"/>
        <v>1.75154631379962</v>
      </c>
      <c r="P206" s="16"/>
      <c r="Q206" s="14">
        <f t="shared" si="17"/>
        <v>1</v>
      </c>
      <c r="R206" s="14"/>
      <c r="S206" s="14"/>
      <c r="T206" s="13" t="str">
        <f t="shared" si="18"/>
        <v>On-Time</v>
      </c>
      <c r="U206" s="14"/>
      <c r="V206" s="13" t="str">
        <f t="shared" si="19"/>
        <v>Low Quantity</v>
      </c>
      <c r="W206" s="16"/>
    </row>
    <row r="207" spans="1:23">
      <c r="A207" s="5" t="s">
        <v>266</v>
      </c>
      <c r="B207" s="6">
        <v>45427</v>
      </c>
      <c r="C207" s="7" t="s">
        <v>33</v>
      </c>
      <c r="D207" s="7" t="s">
        <v>46</v>
      </c>
      <c r="E207" s="5">
        <v>859</v>
      </c>
      <c r="F207" s="9">
        <v>5686.17</v>
      </c>
      <c r="G207" s="6">
        <v>45429</v>
      </c>
      <c r="H207" s="6">
        <v>45434</v>
      </c>
      <c r="I207" s="7" t="s">
        <v>30</v>
      </c>
      <c r="J207" s="7" t="s">
        <v>26</v>
      </c>
      <c r="K207" s="7" t="s">
        <v>27</v>
      </c>
      <c r="M207" s="13">
        <f t="shared" si="15"/>
        <v>5</v>
      </c>
      <c r="N207" s="14"/>
      <c r="O207" s="15">
        <f t="shared" si="16"/>
        <v>6.6195227008149</v>
      </c>
      <c r="P207" s="16"/>
      <c r="Q207" s="14">
        <f t="shared" si="17"/>
        <v>2</v>
      </c>
      <c r="R207" s="14"/>
      <c r="S207" s="14"/>
      <c r="T207" s="13" t="str">
        <f t="shared" si="18"/>
        <v>On-Time</v>
      </c>
      <c r="U207" s="14"/>
      <c r="V207" s="13" t="str">
        <f t="shared" si="19"/>
        <v>Low Quantity</v>
      </c>
      <c r="W207" s="16"/>
    </row>
    <row r="208" spans="1:23">
      <c r="A208" s="5" t="s">
        <v>267</v>
      </c>
      <c r="B208" s="6">
        <v>45967</v>
      </c>
      <c r="C208" s="7" t="s">
        <v>56</v>
      </c>
      <c r="D208" s="7" t="s">
        <v>81</v>
      </c>
      <c r="E208" s="8">
        <v>1297</v>
      </c>
      <c r="F208" s="9">
        <v>1308.78</v>
      </c>
      <c r="G208" s="6">
        <v>45968</v>
      </c>
      <c r="H208" s="6">
        <v>45983</v>
      </c>
      <c r="I208" s="7" t="s">
        <v>35</v>
      </c>
      <c r="J208" s="7" t="s">
        <v>44</v>
      </c>
      <c r="K208" s="7" t="s">
        <v>21</v>
      </c>
      <c r="M208" s="13">
        <f t="shared" si="15"/>
        <v>15</v>
      </c>
      <c r="N208" s="14"/>
      <c r="O208" s="15">
        <f t="shared" si="16"/>
        <v>1.00908249807247</v>
      </c>
      <c r="P208" s="16"/>
      <c r="Q208" s="14">
        <f t="shared" si="17"/>
        <v>1</v>
      </c>
      <c r="R208" s="14"/>
      <c r="S208" s="14"/>
      <c r="T208" s="13" t="str">
        <f t="shared" si="18"/>
        <v>Delayed</v>
      </c>
      <c r="U208" s="14"/>
      <c r="V208" s="13" t="str">
        <f t="shared" si="19"/>
        <v>Low Quantity</v>
      </c>
      <c r="W208" s="16"/>
    </row>
    <row r="209" spans="1:23">
      <c r="A209" s="5" t="s">
        <v>268</v>
      </c>
      <c r="B209" s="6">
        <v>45830</v>
      </c>
      <c r="C209" s="7" t="s">
        <v>58</v>
      </c>
      <c r="D209" s="7" t="s">
        <v>34</v>
      </c>
      <c r="E209" s="8">
        <v>2953</v>
      </c>
      <c r="F209" s="9">
        <v>14448.74</v>
      </c>
      <c r="G209" s="6">
        <v>45833</v>
      </c>
      <c r="H209" s="6">
        <v>45853</v>
      </c>
      <c r="I209" s="7" t="s">
        <v>30</v>
      </c>
      <c r="J209" s="7" t="s">
        <v>20</v>
      </c>
      <c r="K209" s="7" t="s">
        <v>27</v>
      </c>
      <c r="M209" s="13">
        <f t="shared" si="15"/>
        <v>20</v>
      </c>
      <c r="N209" s="14"/>
      <c r="O209" s="15">
        <f t="shared" si="16"/>
        <v>4.89290213342364</v>
      </c>
      <c r="P209" s="16"/>
      <c r="Q209" s="14">
        <f t="shared" si="17"/>
        <v>3</v>
      </c>
      <c r="R209" s="14"/>
      <c r="S209" s="14"/>
      <c r="T209" s="13" t="str">
        <f t="shared" si="18"/>
        <v>On-Time</v>
      </c>
      <c r="U209" s="14"/>
      <c r="V209" s="13" t="str">
        <f t="shared" si="19"/>
        <v>Low Quantity</v>
      </c>
      <c r="W209" s="16"/>
    </row>
    <row r="210" spans="1:23">
      <c r="A210" s="5" t="s">
        <v>269</v>
      </c>
      <c r="B210" s="6">
        <v>45333</v>
      </c>
      <c r="C210" s="7" t="s">
        <v>33</v>
      </c>
      <c r="D210" s="7" t="s">
        <v>46</v>
      </c>
      <c r="E210" s="8">
        <v>3536</v>
      </c>
      <c r="F210" s="9">
        <v>6732.23</v>
      </c>
      <c r="G210" s="6">
        <v>45335</v>
      </c>
      <c r="H210" s="6">
        <v>45346</v>
      </c>
      <c r="I210" s="7" t="s">
        <v>19</v>
      </c>
      <c r="J210" s="7" t="s">
        <v>44</v>
      </c>
      <c r="K210" s="7" t="s">
        <v>27</v>
      </c>
      <c r="M210" s="13">
        <f t="shared" si="15"/>
        <v>11</v>
      </c>
      <c r="N210" s="14"/>
      <c r="O210" s="15">
        <f t="shared" si="16"/>
        <v>1.90391119909502</v>
      </c>
      <c r="P210" s="16"/>
      <c r="Q210" s="14">
        <f t="shared" si="17"/>
        <v>2</v>
      </c>
      <c r="R210" s="14"/>
      <c r="S210" s="14"/>
      <c r="T210" s="13" t="str">
        <f t="shared" si="18"/>
        <v>On-Time</v>
      </c>
      <c r="U210" s="14"/>
      <c r="V210" s="13" t="str">
        <f t="shared" si="19"/>
        <v>High Quantity</v>
      </c>
      <c r="W210" s="16"/>
    </row>
    <row r="211" spans="1:23">
      <c r="A211" s="5" t="s">
        <v>270</v>
      </c>
      <c r="B211" s="6">
        <v>45994</v>
      </c>
      <c r="C211" s="7" t="s">
        <v>56</v>
      </c>
      <c r="D211" s="7" t="s">
        <v>18</v>
      </c>
      <c r="E211" s="8">
        <v>4765</v>
      </c>
      <c r="F211" s="9">
        <v>6430.92</v>
      </c>
      <c r="G211" s="6">
        <v>45996</v>
      </c>
      <c r="H211" s="6">
        <v>45999</v>
      </c>
      <c r="I211" s="7" t="s">
        <v>30</v>
      </c>
      <c r="J211" s="7" t="s">
        <v>59</v>
      </c>
      <c r="K211" s="7" t="s">
        <v>27</v>
      </c>
      <c r="M211" s="13">
        <f t="shared" si="15"/>
        <v>3</v>
      </c>
      <c r="N211" s="14"/>
      <c r="O211" s="15">
        <f t="shared" si="16"/>
        <v>1.34961594963274</v>
      </c>
      <c r="P211" s="16"/>
      <c r="Q211" s="14">
        <f t="shared" si="17"/>
        <v>2</v>
      </c>
      <c r="R211" s="14"/>
      <c r="S211" s="14"/>
      <c r="T211" s="13" t="str">
        <f t="shared" si="18"/>
        <v>On-Time</v>
      </c>
      <c r="U211" s="14"/>
      <c r="V211" s="13" t="str">
        <f t="shared" si="19"/>
        <v>High Quantity</v>
      </c>
      <c r="W211" s="16"/>
    </row>
    <row r="212" spans="1:23">
      <c r="A212" s="5" t="s">
        <v>271</v>
      </c>
      <c r="B212" s="6">
        <v>45794</v>
      </c>
      <c r="C212" s="7" t="s">
        <v>94</v>
      </c>
      <c r="D212" s="7" t="s">
        <v>41</v>
      </c>
      <c r="E212" s="8">
        <v>1380</v>
      </c>
      <c r="F212" s="9">
        <v>21128.06</v>
      </c>
      <c r="G212" s="6">
        <v>45795</v>
      </c>
      <c r="H212" s="6">
        <v>45827</v>
      </c>
      <c r="I212" s="7" t="s">
        <v>49</v>
      </c>
      <c r="J212" s="7" t="s">
        <v>20</v>
      </c>
      <c r="K212" s="7" t="s">
        <v>21</v>
      </c>
      <c r="M212" s="13">
        <f t="shared" si="15"/>
        <v>32</v>
      </c>
      <c r="N212" s="14"/>
      <c r="O212" s="15">
        <f t="shared" si="16"/>
        <v>15.3101884057971</v>
      </c>
      <c r="P212" s="16"/>
      <c r="Q212" s="14">
        <f t="shared" si="17"/>
        <v>1</v>
      </c>
      <c r="R212" s="14"/>
      <c r="S212" s="14"/>
      <c r="T212" s="13" t="str">
        <f t="shared" si="18"/>
        <v>Delayed</v>
      </c>
      <c r="U212" s="14"/>
      <c r="V212" s="13" t="str">
        <f t="shared" si="19"/>
        <v>Low Quantity</v>
      </c>
      <c r="W212" s="16"/>
    </row>
    <row r="213" spans="1:23">
      <c r="A213" s="5" t="s">
        <v>272</v>
      </c>
      <c r="B213" s="6">
        <v>45471</v>
      </c>
      <c r="C213" s="7" t="s">
        <v>38</v>
      </c>
      <c r="D213" s="7" t="s">
        <v>100</v>
      </c>
      <c r="E213" s="8">
        <v>3184</v>
      </c>
      <c r="F213" s="9">
        <v>4493.63</v>
      </c>
      <c r="G213" s="6">
        <v>45472</v>
      </c>
      <c r="H213" s="6">
        <v>45474</v>
      </c>
      <c r="I213" s="7" t="s">
        <v>49</v>
      </c>
      <c r="J213" s="7" t="s">
        <v>26</v>
      </c>
      <c r="K213" s="7" t="s">
        <v>27</v>
      </c>
      <c r="M213" s="13">
        <f t="shared" si="15"/>
        <v>2</v>
      </c>
      <c r="N213" s="14"/>
      <c r="O213" s="15">
        <f t="shared" si="16"/>
        <v>1.41131595477387</v>
      </c>
      <c r="P213" s="16"/>
      <c r="Q213" s="14">
        <f t="shared" si="17"/>
        <v>1</v>
      </c>
      <c r="R213" s="14"/>
      <c r="S213" s="14"/>
      <c r="T213" s="13" t="str">
        <f t="shared" si="18"/>
        <v>On-Time</v>
      </c>
      <c r="U213" s="14"/>
      <c r="V213" s="13" t="str">
        <f t="shared" si="19"/>
        <v>High Quantity</v>
      </c>
      <c r="W213" s="16"/>
    </row>
    <row r="214" spans="1:23">
      <c r="A214" s="5" t="s">
        <v>273</v>
      </c>
      <c r="B214" s="6">
        <v>45650</v>
      </c>
      <c r="C214" s="7" t="s">
        <v>17</v>
      </c>
      <c r="D214" s="7" t="s">
        <v>25</v>
      </c>
      <c r="E214" s="8">
        <v>4463</v>
      </c>
      <c r="F214" s="9">
        <v>1642.13</v>
      </c>
      <c r="G214" s="6">
        <v>45651</v>
      </c>
      <c r="H214" s="6">
        <v>45653</v>
      </c>
      <c r="I214" s="7" t="s">
        <v>35</v>
      </c>
      <c r="J214" s="7" t="s">
        <v>59</v>
      </c>
      <c r="K214" s="7" t="s">
        <v>27</v>
      </c>
      <c r="M214" s="13">
        <f t="shared" si="15"/>
        <v>2</v>
      </c>
      <c r="N214" s="14"/>
      <c r="O214" s="15">
        <f t="shared" si="16"/>
        <v>0.367943087609232</v>
      </c>
      <c r="P214" s="16"/>
      <c r="Q214" s="14">
        <f t="shared" si="17"/>
        <v>1</v>
      </c>
      <c r="R214" s="14"/>
      <c r="S214" s="14"/>
      <c r="T214" s="13" t="str">
        <f t="shared" si="18"/>
        <v>On-Time</v>
      </c>
      <c r="U214" s="14"/>
      <c r="V214" s="13" t="str">
        <f t="shared" si="19"/>
        <v>High Quantity</v>
      </c>
      <c r="W214" s="16"/>
    </row>
    <row r="215" spans="1:23">
      <c r="A215" s="5" t="s">
        <v>274</v>
      </c>
      <c r="B215" s="6">
        <v>45321</v>
      </c>
      <c r="C215" s="7" t="s">
        <v>54</v>
      </c>
      <c r="D215" s="7" t="s">
        <v>34</v>
      </c>
      <c r="E215" s="8">
        <v>3527</v>
      </c>
      <c r="F215" s="9">
        <v>22514.24</v>
      </c>
      <c r="G215" s="6">
        <v>45324</v>
      </c>
      <c r="H215" s="6">
        <v>45334</v>
      </c>
      <c r="I215" s="7" t="s">
        <v>19</v>
      </c>
      <c r="J215" s="7" t="s">
        <v>44</v>
      </c>
      <c r="K215" s="7" t="s">
        <v>27</v>
      </c>
      <c r="M215" s="13">
        <f t="shared" si="15"/>
        <v>10</v>
      </c>
      <c r="N215" s="14"/>
      <c r="O215" s="15">
        <f t="shared" si="16"/>
        <v>6.38339665438049</v>
      </c>
      <c r="P215" s="16"/>
      <c r="Q215" s="14">
        <f t="shared" si="17"/>
        <v>3</v>
      </c>
      <c r="R215" s="14"/>
      <c r="S215" s="14"/>
      <c r="T215" s="13" t="str">
        <f t="shared" si="18"/>
        <v>On-Time</v>
      </c>
      <c r="U215" s="14"/>
      <c r="V215" s="13" t="str">
        <f t="shared" si="19"/>
        <v>High Quantity</v>
      </c>
      <c r="W215" s="16"/>
    </row>
    <row r="216" spans="1:23">
      <c r="A216" s="5" t="s">
        <v>275</v>
      </c>
      <c r="B216" s="6">
        <v>45733</v>
      </c>
      <c r="C216" s="7" t="s">
        <v>94</v>
      </c>
      <c r="D216" s="7" t="s">
        <v>41</v>
      </c>
      <c r="E216" s="8">
        <v>3335</v>
      </c>
      <c r="F216" s="9">
        <v>21572.93</v>
      </c>
      <c r="G216" s="6">
        <v>45736</v>
      </c>
      <c r="H216" s="6">
        <v>45738</v>
      </c>
      <c r="I216" s="7" t="s">
        <v>30</v>
      </c>
      <c r="J216" s="7" t="s">
        <v>59</v>
      </c>
      <c r="K216" s="7" t="s">
        <v>27</v>
      </c>
      <c r="M216" s="13">
        <f t="shared" si="15"/>
        <v>2</v>
      </c>
      <c r="N216" s="14"/>
      <c r="O216" s="15">
        <f t="shared" si="16"/>
        <v>6.46864467766117</v>
      </c>
      <c r="P216" s="16"/>
      <c r="Q216" s="14">
        <f t="shared" si="17"/>
        <v>3</v>
      </c>
      <c r="R216" s="14"/>
      <c r="S216" s="14"/>
      <c r="T216" s="13" t="str">
        <f t="shared" si="18"/>
        <v>On-Time</v>
      </c>
      <c r="U216" s="14"/>
      <c r="V216" s="13" t="str">
        <f t="shared" si="19"/>
        <v>High Quantity</v>
      </c>
      <c r="W216" s="16"/>
    </row>
    <row r="217" spans="1:23">
      <c r="A217" s="5" t="s">
        <v>276</v>
      </c>
      <c r="B217" s="6">
        <v>45516</v>
      </c>
      <c r="C217" s="7" t="s">
        <v>76</v>
      </c>
      <c r="D217" s="7" t="s">
        <v>81</v>
      </c>
      <c r="E217" s="5">
        <v>950</v>
      </c>
      <c r="F217" s="9">
        <v>1891.6</v>
      </c>
      <c r="G217" s="6">
        <v>45518</v>
      </c>
      <c r="H217" s="6">
        <v>45527</v>
      </c>
      <c r="I217" s="7" t="s">
        <v>49</v>
      </c>
      <c r="J217" s="7" t="s">
        <v>26</v>
      </c>
      <c r="K217" s="7" t="s">
        <v>21</v>
      </c>
      <c r="M217" s="13">
        <f t="shared" si="15"/>
        <v>9</v>
      </c>
      <c r="N217" s="14"/>
      <c r="O217" s="15">
        <f t="shared" si="16"/>
        <v>1.99115789473684</v>
      </c>
      <c r="P217" s="16"/>
      <c r="Q217" s="14">
        <f t="shared" si="17"/>
        <v>2</v>
      </c>
      <c r="R217" s="14"/>
      <c r="S217" s="14"/>
      <c r="T217" s="13" t="str">
        <f t="shared" si="18"/>
        <v>Delayed</v>
      </c>
      <c r="U217" s="14"/>
      <c r="V217" s="13" t="str">
        <f t="shared" si="19"/>
        <v>Low Quantity</v>
      </c>
      <c r="W217" s="16"/>
    </row>
    <row r="218" spans="1:23">
      <c r="A218" s="5" t="s">
        <v>277</v>
      </c>
      <c r="B218" s="6">
        <v>45511</v>
      </c>
      <c r="C218" s="7" t="s">
        <v>65</v>
      </c>
      <c r="D218" s="7" t="s">
        <v>41</v>
      </c>
      <c r="E218" s="8">
        <v>2152</v>
      </c>
      <c r="F218" s="9">
        <v>1189.21</v>
      </c>
      <c r="G218" s="6">
        <v>45512</v>
      </c>
      <c r="H218" s="6">
        <v>45514</v>
      </c>
      <c r="I218" s="7" t="s">
        <v>19</v>
      </c>
      <c r="J218" s="7" t="s">
        <v>26</v>
      </c>
      <c r="K218" s="7" t="s">
        <v>27</v>
      </c>
      <c r="M218" s="13">
        <f t="shared" si="15"/>
        <v>2</v>
      </c>
      <c r="N218" s="14"/>
      <c r="O218" s="15">
        <f t="shared" si="16"/>
        <v>0.55260687732342</v>
      </c>
      <c r="P218" s="16"/>
      <c r="Q218" s="14">
        <f t="shared" si="17"/>
        <v>1</v>
      </c>
      <c r="R218" s="14"/>
      <c r="S218" s="14"/>
      <c r="T218" s="13" t="str">
        <f t="shared" si="18"/>
        <v>On-Time</v>
      </c>
      <c r="U218" s="14"/>
      <c r="V218" s="13" t="str">
        <f t="shared" si="19"/>
        <v>Low Quantity</v>
      </c>
      <c r="W218" s="16"/>
    </row>
    <row r="219" spans="1:23">
      <c r="A219" s="5" t="s">
        <v>278</v>
      </c>
      <c r="B219" s="6">
        <v>45994</v>
      </c>
      <c r="C219" s="7" t="s">
        <v>58</v>
      </c>
      <c r="D219" s="7" t="s">
        <v>100</v>
      </c>
      <c r="E219" s="8">
        <v>4980</v>
      </c>
      <c r="F219" s="9">
        <v>4566.08</v>
      </c>
      <c r="G219" s="6">
        <v>45996</v>
      </c>
      <c r="H219" s="6">
        <v>46003</v>
      </c>
      <c r="I219" s="7" t="s">
        <v>19</v>
      </c>
      <c r="J219" s="7" t="s">
        <v>26</v>
      </c>
      <c r="K219" s="7" t="s">
        <v>27</v>
      </c>
      <c r="M219" s="13">
        <f t="shared" si="15"/>
        <v>7</v>
      </c>
      <c r="N219" s="14"/>
      <c r="O219" s="15">
        <f t="shared" si="16"/>
        <v>0.916883534136546</v>
      </c>
      <c r="P219" s="16"/>
      <c r="Q219" s="14">
        <f t="shared" si="17"/>
        <v>2</v>
      </c>
      <c r="R219" s="14"/>
      <c r="S219" s="14"/>
      <c r="T219" s="13" t="str">
        <f t="shared" si="18"/>
        <v>On-Time</v>
      </c>
      <c r="U219" s="14"/>
      <c r="V219" s="13" t="str">
        <f t="shared" si="19"/>
        <v>High Quantity</v>
      </c>
      <c r="W219" s="16"/>
    </row>
    <row r="220" spans="1:23">
      <c r="A220" s="5" t="s">
        <v>279</v>
      </c>
      <c r="B220" s="6">
        <v>45510</v>
      </c>
      <c r="C220" s="7" t="s">
        <v>56</v>
      </c>
      <c r="D220" s="7" t="s">
        <v>25</v>
      </c>
      <c r="E220" s="5">
        <v>179</v>
      </c>
      <c r="F220" s="9">
        <v>3483.94</v>
      </c>
      <c r="G220" s="6">
        <v>45511</v>
      </c>
      <c r="H220" s="6">
        <v>45519</v>
      </c>
      <c r="I220" s="7" t="s">
        <v>30</v>
      </c>
      <c r="J220" s="7" t="s">
        <v>26</v>
      </c>
      <c r="K220" s="7" t="s">
        <v>27</v>
      </c>
      <c r="M220" s="13">
        <f t="shared" si="15"/>
        <v>8</v>
      </c>
      <c r="N220" s="14"/>
      <c r="O220" s="15">
        <f t="shared" si="16"/>
        <v>19.4633519553073</v>
      </c>
      <c r="P220" s="16"/>
      <c r="Q220" s="14">
        <f t="shared" si="17"/>
        <v>1</v>
      </c>
      <c r="R220" s="14"/>
      <c r="S220" s="14"/>
      <c r="T220" s="13" t="str">
        <f t="shared" si="18"/>
        <v>On-Time</v>
      </c>
      <c r="U220" s="14"/>
      <c r="V220" s="13" t="str">
        <f t="shared" si="19"/>
        <v>Low Quantity</v>
      </c>
      <c r="W220" s="16"/>
    </row>
    <row r="221" spans="1:23">
      <c r="A221" s="5" t="s">
        <v>280</v>
      </c>
      <c r="B221" s="6">
        <v>45431</v>
      </c>
      <c r="C221" s="7" t="s">
        <v>54</v>
      </c>
      <c r="D221" s="7" t="s">
        <v>51</v>
      </c>
      <c r="E221" s="8">
        <v>4619</v>
      </c>
      <c r="F221" s="9">
        <v>11864.03</v>
      </c>
      <c r="G221" s="6">
        <v>45434</v>
      </c>
      <c r="H221" s="6">
        <v>45442</v>
      </c>
      <c r="I221" s="7" t="s">
        <v>30</v>
      </c>
      <c r="J221" s="7" t="s">
        <v>26</v>
      </c>
      <c r="K221" s="7" t="s">
        <v>27</v>
      </c>
      <c r="M221" s="13">
        <f t="shared" si="15"/>
        <v>8</v>
      </c>
      <c r="N221" s="14"/>
      <c r="O221" s="15">
        <f t="shared" si="16"/>
        <v>2.56852781987443</v>
      </c>
      <c r="P221" s="16"/>
      <c r="Q221" s="14">
        <f t="shared" si="17"/>
        <v>3</v>
      </c>
      <c r="R221" s="14"/>
      <c r="S221" s="14"/>
      <c r="T221" s="13" t="str">
        <f t="shared" si="18"/>
        <v>On-Time</v>
      </c>
      <c r="U221" s="14"/>
      <c r="V221" s="13" t="str">
        <f t="shared" si="19"/>
        <v>High Quantity</v>
      </c>
      <c r="W221" s="16"/>
    </row>
    <row r="222" spans="1:23">
      <c r="A222" s="5" t="s">
        <v>281</v>
      </c>
      <c r="B222" s="6">
        <v>45580</v>
      </c>
      <c r="C222" s="7" t="s">
        <v>65</v>
      </c>
      <c r="D222" s="7" t="s">
        <v>51</v>
      </c>
      <c r="E222" s="5">
        <v>711</v>
      </c>
      <c r="F222" s="9">
        <v>8121.97</v>
      </c>
      <c r="G222" s="6">
        <v>45583</v>
      </c>
      <c r="H222" s="6">
        <v>45586</v>
      </c>
      <c r="I222" s="7" t="s">
        <v>49</v>
      </c>
      <c r="J222" s="7" t="s">
        <v>26</v>
      </c>
      <c r="K222" s="7" t="s">
        <v>27</v>
      </c>
      <c r="M222" s="13">
        <f t="shared" si="15"/>
        <v>3</v>
      </c>
      <c r="N222" s="14"/>
      <c r="O222" s="15">
        <f t="shared" si="16"/>
        <v>11.4233052039381</v>
      </c>
      <c r="P222" s="16"/>
      <c r="Q222" s="14">
        <f t="shared" si="17"/>
        <v>3</v>
      </c>
      <c r="R222" s="14"/>
      <c r="S222" s="14"/>
      <c r="T222" s="13" t="str">
        <f t="shared" si="18"/>
        <v>On-Time</v>
      </c>
      <c r="U222" s="14"/>
      <c r="V222" s="13" t="str">
        <f t="shared" si="19"/>
        <v>Low Quantity</v>
      </c>
      <c r="W222" s="16"/>
    </row>
    <row r="223" spans="1:23">
      <c r="A223" s="5" t="s">
        <v>282</v>
      </c>
      <c r="B223" s="6">
        <v>45737</v>
      </c>
      <c r="C223" s="7" t="s">
        <v>79</v>
      </c>
      <c r="D223" s="7" t="s">
        <v>34</v>
      </c>
      <c r="E223" s="8">
        <v>2917</v>
      </c>
      <c r="F223" s="9">
        <v>47107.75</v>
      </c>
      <c r="G223" s="6">
        <v>45740</v>
      </c>
      <c r="H223" s="6">
        <v>45745</v>
      </c>
      <c r="I223" s="7" t="s">
        <v>35</v>
      </c>
      <c r="J223" s="7" t="s">
        <v>26</v>
      </c>
      <c r="K223" s="7" t="s">
        <v>27</v>
      </c>
      <c r="M223" s="13">
        <f t="shared" si="15"/>
        <v>5</v>
      </c>
      <c r="N223" s="14"/>
      <c r="O223" s="15">
        <f t="shared" si="16"/>
        <v>16.1493829276654</v>
      </c>
      <c r="P223" s="16"/>
      <c r="Q223" s="14">
        <f t="shared" si="17"/>
        <v>3</v>
      </c>
      <c r="R223" s="14"/>
      <c r="S223" s="14"/>
      <c r="T223" s="13" t="str">
        <f t="shared" si="18"/>
        <v>On-Time</v>
      </c>
      <c r="U223" s="14"/>
      <c r="V223" s="13" t="str">
        <f t="shared" si="19"/>
        <v>Low Quantity</v>
      </c>
      <c r="W223" s="16"/>
    </row>
    <row r="224" spans="1:23">
      <c r="A224" s="5" t="s">
        <v>283</v>
      </c>
      <c r="B224" s="6">
        <v>45342</v>
      </c>
      <c r="C224" s="7" t="s">
        <v>76</v>
      </c>
      <c r="D224" s="7" t="s">
        <v>81</v>
      </c>
      <c r="E224" s="5">
        <v>242</v>
      </c>
      <c r="F224" s="9">
        <v>1419.88</v>
      </c>
      <c r="G224" s="6">
        <v>45344</v>
      </c>
      <c r="H224" s="6">
        <v>45354</v>
      </c>
      <c r="I224" s="7" t="s">
        <v>30</v>
      </c>
      <c r="J224" s="7" t="s">
        <v>26</v>
      </c>
      <c r="K224" s="7" t="s">
        <v>21</v>
      </c>
      <c r="M224" s="13">
        <f t="shared" si="15"/>
        <v>10</v>
      </c>
      <c r="N224" s="14"/>
      <c r="O224" s="15">
        <f t="shared" si="16"/>
        <v>5.86727272727273</v>
      </c>
      <c r="P224" s="16"/>
      <c r="Q224" s="14">
        <f t="shared" si="17"/>
        <v>2</v>
      </c>
      <c r="R224" s="14"/>
      <c r="S224" s="14"/>
      <c r="T224" s="13" t="str">
        <f t="shared" si="18"/>
        <v>Delayed</v>
      </c>
      <c r="U224" s="14"/>
      <c r="V224" s="13" t="str">
        <f t="shared" si="19"/>
        <v>Low Quantity</v>
      </c>
      <c r="W224" s="16"/>
    </row>
    <row r="225" spans="1:23">
      <c r="A225" s="5" t="s">
        <v>284</v>
      </c>
      <c r="B225" s="6">
        <v>45705</v>
      </c>
      <c r="C225" s="7" t="s">
        <v>58</v>
      </c>
      <c r="D225" s="7" t="s">
        <v>77</v>
      </c>
      <c r="E225" s="5">
        <v>900</v>
      </c>
      <c r="F225" s="9">
        <v>14847.25</v>
      </c>
      <c r="G225" s="6">
        <v>45707</v>
      </c>
      <c r="H225" s="6">
        <v>45714</v>
      </c>
      <c r="I225" s="7" t="s">
        <v>49</v>
      </c>
      <c r="J225" s="7" t="s">
        <v>44</v>
      </c>
      <c r="K225" s="7" t="s">
        <v>27</v>
      </c>
      <c r="M225" s="13">
        <f t="shared" si="15"/>
        <v>7</v>
      </c>
      <c r="N225" s="14"/>
      <c r="O225" s="15">
        <f t="shared" si="16"/>
        <v>16.4969444444444</v>
      </c>
      <c r="P225" s="16"/>
      <c r="Q225" s="14">
        <f t="shared" si="17"/>
        <v>2</v>
      </c>
      <c r="R225" s="14"/>
      <c r="S225" s="14"/>
      <c r="T225" s="13" t="str">
        <f t="shared" si="18"/>
        <v>On-Time</v>
      </c>
      <c r="U225" s="14"/>
      <c r="V225" s="13" t="str">
        <f t="shared" si="19"/>
        <v>Low Quantity</v>
      </c>
      <c r="W225" s="16"/>
    </row>
    <row r="226" spans="1:23">
      <c r="A226" s="5" t="s">
        <v>285</v>
      </c>
      <c r="B226" s="6">
        <v>45498</v>
      </c>
      <c r="C226" s="7" t="s">
        <v>94</v>
      </c>
      <c r="D226" s="7" t="s">
        <v>25</v>
      </c>
      <c r="E226" s="8">
        <v>2974</v>
      </c>
      <c r="F226" s="9">
        <v>2764.91</v>
      </c>
      <c r="G226" s="6">
        <v>45499</v>
      </c>
      <c r="H226" s="6">
        <v>45503</v>
      </c>
      <c r="I226" s="7" t="s">
        <v>30</v>
      </c>
      <c r="J226" s="7" t="s">
        <v>59</v>
      </c>
      <c r="K226" s="7" t="s">
        <v>27</v>
      </c>
      <c r="M226" s="13">
        <f t="shared" si="15"/>
        <v>4</v>
      </c>
      <c r="N226" s="14"/>
      <c r="O226" s="15">
        <f t="shared" si="16"/>
        <v>0.929694014794889</v>
      </c>
      <c r="P226" s="16"/>
      <c r="Q226" s="14">
        <f t="shared" si="17"/>
        <v>1</v>
      </c>
      <c r="R226" s="14"/>
      <c r="S226" s="14"/>
      <c r="T226" s="13" t="str">
        <f t="shared" si="18"/>
        <v>On-Time</v>
      </c>
      <c r="U226" s="14"/>
      <c r="V226" s="13" t="str">
        <f t="shared" si="19"/>
        <v>Low Quantity</v>
      </c>
      <c r="W226" s="16"/>
    </row>
    <row r="227" spans="1:23">
      <c r="A227" s="5" t="s">
        <v>286</v>
      </c>
      <c r="B227" s="6">
        <v>45976</v>
      </c>
      <c r="C227" s="7" t="s">
        <v>76</v>
      </c>
      <c r="D227" s="7" t="s">
        <v>100</v>
      </c>
      <c r="E227" s="8">
        <v>2307</v>
      </c>
      <c r="F227" s="9">
        <v>4632.26</v>
      </c>
      <c r="G227" s="6">
        <v>45978</v>
      </c>
      <c r="H227" s="6">
        <v>45985</v>
      </c>
      <c r="I227" s="7" t="s">
        <v>49</v>
      </c>
      <c r="J227" s="7" t="s">
        <v>26</v>
      </c>
      <c r="K227" s="7" t="s">
        <v>27</v>
      </c>
      <c r="M227" s="13">
        <f t="shared" si="15"/>
        <v>7</v>
      </c>
      <c r="N227" s="14"/>
      <c r="O227" s="15">
        <f t="shared" si="16"/>
        <v>2.00791504117902</v>
      </c>
      <c r="P227" s="16"/>
      <c r="Q227" s="14">
        <f t="shared" si="17"/>
        <v>2</v>
      </c>
      <c r="R227" s="14"/>
      <c r="S227" s="14"/>
      <c r="T227" s="13" t="str">
        <f t="shared" si="18"/>
        <v>On-Time</v>
      </c>
      <c r="U227" s="14"/>
      <c r="V227" s="13" t="str">
        <f t="shared" si="19"/>
        <v>Low Quantity</v>
      </c>
      <c r="W227" s="16"/>
    </row>
    <row r="228" spans="1:23">
      <c r="A228" s="5" t="s">
        <v>287</v>
      </c>
      <c r="B228" s="6">
        <v>45691</v>
      </c>
      <c r="C228" s="7" t="s">
        <v>87</v>
      </c>
      <c r="D228" s="7" t="s">
        <v>25</v>
      </c>
      <c r="E228" s="8">
        <v>3419</v>
      </c>
      <c r="F228" s="9">
        <v>645.99</v>
      </c>
      <c r="G228" s="6">
        <v>45693</v>
      </c>
      <c r="H228" s="6">
        <v>45695</v>
      </c>
      <c r="I228" s="7" t="s">
        <v>19</v>
      </c>
      <c r="J228" s="7" t="s">
        <v>26</v>
      </c>
      <c r="K228" s="7" t="s">
        <v>27</v>
      </c>
      <c r="M228" s="13">
        <f t="shared" si="15"/>
        <v>2</v>
      </c>
      <c r="N228" s="14"/>
      <c r="O228" s="15">
        <f t="shared" si="16"/>
        <v>0.188941210880374</v>
      </c>
      <c r="P228" s="16"/>
      <c r="Q228" s="14">
        <f t="shared" si="17"/>
        <v>2</v>
      </c>
      <c r="R228" s="14"/>
      <c r="S228" s="14"/>
      <c r="T228" s="13" t="str">
        <f t="shared" si="18"/>
        <v>On-Time</v>
      </c>
      <c r="U228" s="14"/>
      <c r="V228" s="13" t="str">
        <f t="shared" si="19"/>
        <v>High Quantity</v>
      </c>
      <c r="W228" s="16"/>
    </row>
    <row r="229" spans="1:23">
      <c r="A229" s="5" t="s">
        <v>288</v>
      </c>
      <c r="B229" s="6">
        <v>45461</v>
      </c>
      <c r="C229" s="7" t="s">
        <v>79</v>
      </c>
      <c r="D229" s="7" t="s">
        <v>81</v>
      </c>
      <c r="E229" s="8">
        <v>4549</v>
      </c>
      <c r="F229" s="9">
        <v>1932.81</v>
      </c>
      <c r="G229" s="6">
        <v>45463</v>
      </c>
      <c r="H229" s="6">
        <v>45491</v>
      </c>
      <c r="I229" s="7" t="s">
        <v>49</v>
      </c>
      <c r="J229" s="7" t="s">
        <v>20</v>
      </c>
      <c r="K229" s="7" t="s">
        <v>27</v>
      </c>
      <c r="M229" s="13">
        <f t="shared" si="15"/>
        <v>28</v>
      </c>
      <c r="N229" s="14"/>
      <c r="O229" s="15">
        <f t="shared" si="16"/>
        <v>0.424886788305122</v>
      </c>
      <c r="P229" s="16"/>
      <c r="Q229" s="14">
        <f t="shared" si="17"/>
        <v>2</v>
      </c>
      <c r="R229" s="14"/>
      <c r="S229" s="14"/>
      <c r="T229" s="13" t="str">
        <f t="shared" si="18"/>
        <v>On-Time</v>
      </c>
      <c r="U229" s="14"/>
      <c r="V229" s="13" t="str">
        <f t="shared" si="19"/>
        <v>High Quantity</v>
      </c>
      <c r="W229" s="16"/>
    </row>
    <row r="230" spans="1:23">
      <c r="A230" s="5" t="s">
        <v>289</v>
      </c>
      <c r="B230" s="6">
        <v>45562</v>
      </c>
      <c r="C230" s="7" t="s">
        <v>58</v>
      </c>
      <c r="D230" s="7" t="s">
        <v>77</v>
      </c>
      <c r="E230" s="8">
        <v>1248</v>
      </c>
      <c r="F230" s="9">
        <v>4301.6</v>
      </c>
      <c r="G230" s="6">
        <v>45565</v>
      </c>
      <c r="H230" s="6">
        <v>45572</v>
      </c>
      <c r="I230" s="7" t="s">
        <v>30</v>
      </c>
      <c r="J230" s="7" t="s">
        <v>26</v>
      </c>
      <c r="K230" s="7" t="s">
        <v>27</v>
      </c>
      <c r="M230" s="13">
        <f t="shared" si="15"/>
        <v>7</v>
      </c>
      <c r="N230" s="14"/>
      <c r="O230" s="15">
        <f t="shared" si="16"/>
        <v>3.44679487179487</v>
      </c>
      <c r="P230" s="16"/>
      <c r="Q230" s="14">
        <f t="shared" si="17"/>
        <v>3</v>
      </c>
      <c r="R230" s="14"/>
      <c r="S230" s="14"/>
      <c r="T230" s="13" t="str">
        <f t="shared" si="18"/>
        <v>On-Time</v>
      </c>
      <c r="U230" s="14"/>
      <c r="V230" s="13" t="str">
        <f t="shared" si="19"/>
        <v>Low Quantity</v>
      </c>
      <c r="W230" s="16"/>
    </row>
    <row r="231" spans="1:23">
      <c r="A231" s="5" t="s">
        <v>290</v>
      </c>
      <c r="B231" s="6">
        <v>46001</v>
      </c>
      <c r="C231" s="7" t="s">
        <v>56</v>
      </c>
      <c r="D231" s="7" t="s">
        <v>39</v>
      </c>
      <c r="E231" s="8">
        <v>4435</v>
      </c>
      <c r="F231" s="9">
        <v>15905.05</v>
      </c>
      <c r="G231" s="6">
        <v>46003</v>
      </c>
      <c r="H231" s="6">
        <v>46017</v>
      </c>
      <c r="I231" s="7" t="s">
        <v>19</v>
      </c>
      <c r="J231" s="7" t="s">
        <v>20</v>
      </c>
      <c r="K231" s="7" t="s">
        <v>27</v>
      </c>
      <c r="M231" s="13">
        <f t="shared" si="15"/>
        <v>14</v>
      </c>
      <c r="N231" s="14"/>
      <c r="O231" s="15">
        <f t="shared" si="16"/>
        <v>3.58625704622322</v>
      </c>
      <c r="P231" s="16"/>
      <c r="Q231" s="14">
        <f t="shared" si="17"/>
        <v>2</v>
      </c>
      <c r="R231" s="14"/>
      <c r="S231" s="14"/>
      <c r="T231" s="13" t="str">
        <f t="shared" si="18"/>
        <v>On-Time</v>
      </c>
      <c r="U231" s="14"/>
      <c r="V231" s="13" t="str">
        <f t="shared" si="19"/>
        <v>High Quantity</v>
      </c>
      <c r="W231" s="16"/>
    </row>
    <row r="232" spans="1:23">
      <c r="A232" s="5" t="s">
        <v>291</v>
      </c>
      <c r="B232" s="6">
        <v>45495</v>
      </c>
      <c r="C232" s="7" t="s">
        <v>79</v>
      </c>
      <c r="D232" s="7" t="s">
        <v>77</v>
      </c>
      <c r="E232" s="8">
        <v>4944</v>
      </c>
      <c r="F232" s="9">
        <v>6170.06</v>
      </c>
      <c r="G232" s="6">
        <v>45496</v>
      </c>
      <c r="H232" s="6">
        <v>45500</v>
      </c>
      <c r="I232" s="7" t="s">
        <v>35</v>
      </c>
      <c r="J232" s="7" t="s">
        <v>26</v>
      </c>
      <c r="K232" s="7" t="s">
        <v>27</v>
      </c>
      <c r="M232" s="13">
        <f t="shared" si="15"/>
        <v>4</v>
      </c>
      <c r="N232" s="14"/>
      <c r="O232" s="15">
        <f t="shared" si="16"/>
        <v>1.24798948220065</v>
      </c>
      <c r="P232" s="16"/>
      <c r="Q232" s="14">
        <f t="shared" si="17"/>
        <v>1</v>
      </c>
      <c r="R232" s="14"/>
      <c r="S232" s="14"/>
      <c r="T232" s="13" t="str">
        <f t="shared" si="18"/>
        <v>On-Time</v>
      </c>
      <c r="U232" s="14"/>
      <c r="V232" s="13" t="str">
        <f t="shared" si="19"/>
        <v>High Quantity</v>
      </c>
      <c r="W232" s="16"/>
    </row>
    <row r="233" spans="1:23">
      <c r="A233" s="5" t="s">
        <v>292</v>
      </c>
      <c r="B233" s="6">
        <v>45439</v>
      </c>
      <c r="C233" s="7" t="s">
        <v>56</v>
      </c>
      <c r="D233" s="7" t="s">
        <v>100</v>
      </c>
      <c r="E233" s="5">
        <v>483</v>
      </c>
      <c r="F233" s="9">
        <v>5368.04</v>
      </c>
      <c r="G233" s="6">
        <v>45440</v>
      </c>
      <c r="H233" s="6">
        <v>45445</v>
      </c>
      <c r="I233" s="7" t="s">
        <v>19</v>
      </c>
      <c r="J233" s="7" t="s">
        <v>59</v>
      </c>
      <c r="K233" s="7" t="s">
        <v>27</v>
      </c>
      <c r="M233" s="13">
        <f t="shared" si="15"/>
        <v>5</v>
      </c>
      <c r="N233" s="14"/>
      <c r="O233" s="15">
        <f t="shared" si="16"/>
        <v>11.1139544513458</v>
      </c>
      <c r="P233" s="16"/>
      <c r="Q233" s="14">
        <f t="shared" si="17"/>
        <v>1</v>
      </c>
      <c r="R233" s="14"/>
      <c r="S233" s="14"/>
      <c r="T233" s="13" t="str">
        <f t="shared" si="18"/>
        <v>On-Time</v>
      </c>
      <c r="U233" s="14"/>
      <c r="V233" s="13" t="str">
        <f t="shared" si="19"/>
        <v>Low Quantity</v>
      </c>
      <c r="W233" s="16"/>
    </row>
    <row r="234" spans="1:23">
      <c r="A234" s="5" t="s">
        <v>293</v>
      </c>
      <c r="B234" s="6">
        <v>45539</v>
      </c>
      <c r="C234" s="7" t="s">
        <v>24</v>
      </c>
      <c r="D234" s="7" t="s">
        <v>34</v>
      </c>
      <c r="E234" s="8">
        <v>2788</v>
      </c>
      <c r="F234" s="9">
        <v>40028.33</v>
      </c>
      <c r="G234" s="6">
        <v>45541</v>
      </c>
      <c r="H234" s="6">
        <v>45543</v>
      </c>
      <c r="I234" s="7" t="s">
        <v>19</v>
      </c>
      <c r="J234" s="7" t="s">
        <v>59</v>
      </c>
      <c r="K234" s="7" t="s">
        <v>27</v>
      </c>
      <c r="M234" s="13">
        <f t="shared" si="15"/>
        <v>2</v>
      </c>
      <c r="N234" s="14"/>
      <c r="O234" s="15">
        <f t="shared" si="16"/>
        <v>14.3573637015782</v>
      </c>
      <c r="P234" s="16"/>
      <c r="Q234" s="14">
        <f t="shared" si="17"/>
        <v>2</v>
      </c>
      <c r="R234" s="14"/>
      <c r="S234" s="14"/>
      <c r="T234" s="13" t="str">
        <f t="shared" si="18"/>
        <v>On-Time</v>
      </c>
      <c r="U234" s="14"/>
      <c r="V234" s="13" t="str">
        <f t="shared" si="19"/>
        <v>Low Quantity</v>
      </c>
      <c r="W234" s="16"/>
    </row>
    <row r="235" spans="1:23">
      <c r="A235" s="5" t="s">
        <v>294</v>
      </c>
      <c r="B235" s="6">
        <v>45694</v>
      </c>
      <c r="C235" s="7" t="s">
        <v>68</v>
      </c>
      <c r="D235" s="7" t="s">
        <v>39</v>
      </c>
      <c r="E235" s="8">
        <v>4442</v>
      </c>
      <c r="F235" s="9">
        <v>10168.37</v>
      </c>
      <c r="G235" s="6">
        <v>45697</v>
      </c>
      <c r="H235" s="6">
        <v>45703</v>
      </c>
      <c r="I235" s="7" t="s">
        <v>30</v>
      </c>
      <c r="J235" s="7" t="s">
        <v>26</v>
      </c>
      <c r="K235" s="7" t="s">
        <v>27</v>
      </c>
      <c r="M235" s="13">
        <f t="shared" si="15"/>
        <v>6</v>
      </c>
      <c r="N235" s="14"/>
      <c r="O235" s="15">
        <f t="shared" si="16"/>
        <v>2.28914227825304</v>
      </c>
      <c r="P235" s="16"/>
      <c r="Q235" s="14">
        <f t="shared" si="17"/>
        <v>3</v>
      </c>
      <c r="R235" s="14"/>
      <c r="S235" s="14"/>
      <c r="T235" s="13" t="str">
        <f t="shared" si="18"/>
        <v>On-Time</v>
      </c>
      <c r="U235" s="14"/>
      <c r="V235" s="13" t="str">
        <f t="shared" si="19"/>
        <v>High Quantity</v>
      </c>
      <c r="W235" s="16"/>
    </row>
    <row r="236" spans="1:23">
      <c r="A236" s="5" t="s">
        <v>295</v>
      </c>
      <c r="B236" s="6">
        <v>45722</v>
      </c>
      <c r="C236" s="7" t="s">
        <v>24</v>
      </c>
      <c r="D236" s="7" t="s">
        <v>51</v>
      </c>
      <c r="E236" s="8">
        <v>2735</v>
      </c>
      <c r="F236" s="9">
        <v>12063.99</v>
      </c>
      <c r="G236" s="6">
        <v>45725</v>
      </c>
      <c r="H236" s="6">
        <v>45726</v>
      </c>
      <c r="I236" s="7" t="s">
        <v>19</v>
      </c>
      <c r="J236" s="7" t="s">
        <v>59</v>
      </c>
      <c r="K236" s="7" t="s">
        <v>27</v>
      </c>
      <c r="M236" s="13">
        <f t="shared" si="15"/>
        <v>1</v>
      </c>
      <c r="N236" s="14"/>
      <c r="O236" s="15">
        <f t="shared" si="16"/>
        <v>4.41096526508227</v>
      </c>
      <c r="P236" s="16"/>
      <c r="Q236" s="14">
        <f t="shared" si="17"/>
        <v>3</v>
      </c>
      <c r="R236" s="14"/>
      <c r="S236" s="14"/>
      <c r="T236" s="13" t="str">
        <f t="shared" si="18"/>
        <v>On-Time</v>
      </c>
      <c r="U236" s="14"/>
      <c r="V236" s="13" t="str">
        <f t="shared" si="19"/>
        <v>Low Quantity</v>
      </c>
      <c r="W236" s="16"/>
    </row>
    <row r="237" spans="1:23">
      <c r="A237" s="5" t="s">
        <v>296</v>
      </c>
      <c r="B237" s="6">
        <v>45809</v>
      </c>
      <c r="C237" s="7" t="s">
        <v>79</v>
      </c>
      <c r="D237" s="7" t="s">
        <v>77</v>
      </c>
      <c r="E237" s="8">
        <v>3633</v>
      </c>
      <c r="F237" s="9">
        <v>13320.15</v>
      </c>
      <c r="G237" s="6">
        <v>45810</v>
      </c>
      <c r="H237" s="6">
        <v>45817</v>
      </c>
      <c r="I237" s="7" t="s">
        <v>30</v>
      </c>
      <c r="J237" s="7" t="s">
        <v>44</v>
      </c>
      <c r="K237" s="7" t="s">
        <v>27</v>
      </c>
      <c r="M237" s="13">
        <f t="shared" si="15"/>
        <v>7</v>
      </c>
      <c r="N237" s="14"/>
      <c r="O237" s="15">
        <f t="shared" si="16"/>
        <v>3.66643270024773</v>
      </c>
      <c r="P237" s="16"/>
      <c r="Q237" s="14">
        <f t="shared" si="17"/>
        <v>1</v>
      </c>
      <c r="R237" s="14"/>
      <c r="S237" s="14"/>
      <c r="T237" s="13" t="str">
        <f t="shared" si="18"/>
        <v>On-Time</v>
      </c>
      <c r="U237" s="14"/>
      <c r="V237" s="13" t="str">
        <f t="shared" si="19"/>
        <v>High Quantity</v>
      </c>
      <c r="W237" s="16"/>
    </row>
    <row r="238" spans="1:23">
      <c r="A238" s="5" t="s">
        <v>297</v>
      </c>
      <c r="B238" s="6">
        <v>45725</v>
      </c>
      <c r="C238" s="7" t="s">
        <v>87</v>
      </c>
      <c r="D238" s="7" t="s">
        <v>34</v>
      </c>
      <c r="E238" s="8">
        <v>1793</v>
      </c>
      <c r="F238" s="9">
        <v>26885.97</v>
      </c>
      <c r="G238" s="6">
        <v>45728</v>
      </c>
      <c r="H238" s="6">
        <v>45734</v>
      </c>
      <c r="I238" s="7" t="s">
        <v>19</v>
      </c>
      <c r="J238" s="7" t="s">
        <v>26</v>
      </c>
      <c r="K238" s="7" t="s">
        <v>27</v>
      </c>
      <c r="M238" s="13">
        <f t="shared" si="15"/>
        <v>6</v>
      </c>
      <c r="N238" s="14"/>
      <c r="O238" s="15">
        <f t="shared" si="16"/>
        <v>14.9949637479085</v>
      </c>
      <c r="P238" s="16"/>
      <c r="Q238" s="14">
        <f t="shared" si="17"/>
        <v>3</v>
      </c>
      <c r="R238" s="14"/>
      <c r="S238" s="14"/>
      <c r="T238" s="13" t="str">
        <f t="shared" si="18"/>
        <v>On-Time</v>
      </c>
      <c r="U238" s="14"/>
      <c r="V238" s="13" t="str">
        <f t="shared" si="19"/>
        <v>Low Quantity</v>
      </c>
      <c r="W238" s="16"/>
    </row>
    <row r="239" spans="1:23">
      <c r="A239" s="5" t="s">
        <v>298</v>
      </c>
      <c r="B239" s="6">
        <v>45658</v>
      </c>
      <c r="C239" s="7" t="s">
        <v>29</v>
      </c>
      <c r="D239" s="7" t="s">
        <v>18</v>
      </c>
      <c r="E239" s="5">
        <v>111</v>
      </c>
      <c r="F239" s="9">
        <v>3474.18</v>
      </c>
      <c r="G239" s="6">
        <v>45661</v>
      </c>
      <c r="H239" s="6">
        <v>45664</v>
      </c>
      <c r="I239" s="7" t="s">
        <v>30</v>
      </c>
      <c r="J239" s="7" t="s">
        <v>59</v>
      </c>
      <c r="K239" s="7" t="s">
        <v>27</v>
      </c>
      <c r="M239" s="13">
        <f t="shared" si="15"/>
        <v>3</v>
      </c>
      <c r="N239" s="14"/>
      <c r="O239" s="15">
        <f t="shared" si="16"/>
        <v>31.2989189189189</v>
      </c>
      <c r="P239" s="16"/>
      <c r="Q239" s="14">
        <f t="shared" si="17"/>
        <v>3</v>
      </c>
      <c r="R239" s="14"/>
      <c r="S239" s="14"/>
      <c r="T239" s="13" t="str">
        <f t="shared" si="18"/>
        <v>On-Time</v>
      </c>
      <c r="U239" s="14"/>
      <c r="V239" s="13" t="str">
        <f t="shared" si="19"/>
        <v>Low Quantity</v>
      </c>
      <c r="W239" s="16"/>
    </row>
    <row r="240" spans="1:23">
      <c r="A240" s="5" t="s">
        <v>299</v>
      </c>
      <c r="B240" s="6">
        <v>45562</v>
      </c>
      <c r="C240" s="7" t="s">
        <v>24</v>
      </c>
      <c r="D240" s="7" t="s">
        <v>41</v>
      </c>
      <c r="E240" s="5">
        <v>589</v>
      </c>
      <c r="F240" s="9">
        <v>544.57</v>
      </c>
      <c r="G240" s="6">
        <v>45563</v>
      </c>
      <c r="H240" s="6">
        <v>45567</v>
      </c>
      <c r="I240" s="7" t="s">
        <v>30</v>
      </c>
      <c r="J240" s="7" t="s">
        <v>26</v>
      </c>
      <c r="K240" s="7" t="s">
        <v>27</v>
      </c>
      <c r="M240" s="13">
        <f t="shared" si="15"/>
        <v>4</v>
      </c>
      <c r="N240" s="14"/>
      <c r="O240" s="15">
        <f t="shared" si="16"/>
        <v>0.924567062818336</v>
      </c>
      <c r="P240" s="16"/>
      <c r="Q240" s="14">
        <f t="shared" si="17"/>
        <v>1</v>
      </c>
      <c r="R240" s="14"/>
      <c r="S240" s="14"/>
      <c r="T240" s="13" t="str">
        <f t="shared" si="18"/>
        <v>On-Time</v>
      </c>
      <c r="U240" s="14"/>
      <c r="V240" s="13" t="str">
        <f t="shared" si="19"/>
        <v>Low Quantity</v>
      </c>
      <c r="W240" s="16"/>
    </row>
    <row r="241" spans="1:23">
      <c r="A241" s="5" t="s">
        <v>300</v>
      </c>
      <c r="B241" s="6">
        <v>46002</v>
      </c>
      <c r="C241" s="7" t="s">
        <v>17</v>
      </c>
      <c r="D241" s="7" t="s">
        <v>18</v>
      </c>
      <c r="E241" s="8">
        <v>3883</v>
      </c>
      <c r="F241" s="9">
        <v>2144.57</v>
      </c>
      <c r="G241" s="6">
        <v>46003</v>
      </c>
      <c r="H241" s="6">
        <v>46025</v>
      </c>
      <c r="I241" s="7" t="s">
        <v>49</v>
      </c>
      <c r="J241" s="7" t="s">
        <v>20</v>
      </c>
      <c r="K241" s="7" t="s">
        <v>27</v>
      </c>
      <c r="M241" s="13">
        <f t="shared" si="15"/>
        <v>22</v>
      </c>
      <c r="N241" s="14"/>
      <c r="O241" s="15">
        <f t="shared" si="16"/>
        <v>0.552297192892094</v>
      </c>
      <c r="P241" s="16"/>
      <c r="Q241" s="14">
        <f t="shared" si="17"/>
        <v>1</v>
      </c>
      <c r="R241" s="14"/>
      <c r="S241" s="14"/>
      <c r="T241" s="13" t="str">
        <f t="shared" si="18"/>
        <v>On-Time</v>
      </c>
      <c r="U241" s="14"/>
      <c r="V241" s="13" t="str">
        <f t="shared" si="19"/>
        <v>High Quantity</v>
      </c>
      <c r="W241" s="16"/>
    </row>
    <row r="242" spans="1:23">
      <c r="A242" s="5" t="s">
        <v>301</v>
      </c>
      <c r="B242" s="6">
        <v>45339</v>
      </c>
      <c r="C242" s="7" t="s">
        <v>56</v>
      </c>
      <c r="D242" s="7" t="s">
        <v>46</v>
      </c>
      <c r="E242" s="5">
        <v>641</v>
      </c>
      <c r="F242" s="9">
        <v>4314.77</v>
      </c>
      <c r="G242" s="6">
        <v>45342</v>
      </c>
      <c r="H242" s="6">
        <v>45352</v>
      </c>
      <c r="I242" s="7" t="s">
        <v>35</v>
      </c>
      <c r="J242" s="7" t="s">
        <v>26</v>
      </c>
      <c r="K242" s="7" t="s">
        <v>21</v>
      </c>
      <c r="M242" s="13">
        <f t="shared" si="15"/>
        <v>10</v>
      </c>
      <c r="N242" s="14"/>
      <c r="O242" s="15">
        <f t="shared" si="16"/>
        <v>6.7313104524181</v>
      </c>
      <c r="P242" s="16"/>
      <c r="Q242" s="14">
        <f t="shared" si="17"/>
        <v>3</v>
      </c>
      <c r="R242" s="14"/>
      <c r="S242" s="14"/>
      <c r="T242" s="13" t="str">
        <f t="shared" si="18"/>
        <v>Delayed</v>
      </c>
      <c r="U242" s="14"/>
      <c r="V242" s="13" t="str">
        <f t="shared" si="19"/>
        <v>Low Quantity</v>
      </c>
      <c r="W242" s="16"/>
    </row>
    <row r="243" spans="1:23">
      <c r="A243" s="5" t="s">
        <v>302</v>
      </c>
      <c r="B243" s="6">
        <v>45434</v>
      </c>
      <c r="C243" s="7" t="s">
        <v>38</v>
      </c>
      <c r="D243" s="7" t="s">
        <v>77</v>
      </c>
      <c r="E243" s="8">
        <v>1968</v>
      </c>
      <c r="F243" s="9">
        <v>5643.62</v>
      </c>
      <c r="G243" s="6">
        <v>45436</v>
      </c>
      <c r="H243" s="6">
        <v>45438</v>
      </c>
      <c r="I243" s="7" t="s">
        <v>35</v>
      </c>
      <c r="J243" s="7" t="s">
        <v>26</v>
      </c>
      <c r="K243" s="7" t="s">
        <v>27</v>
      </c>
      <c r="M243" s="13">
        <f t="shared" si="15"/>
        <v>2</v>
      </c>
      <c r="N243" s="14"/>
      <c r="O243" s="15">
        <f t="shared" si="16"/>
        <v>2.86769308943089</v>
      </c>
      <c r="P243" s="16"/>
      <c r="Q243" s="14">
        <f t="shared" si="17"/>
        <v>2</v>
      </c>
      <c r="R243" s="14"/>
      <c r="S243" s="14"/>
      <c r="T243" s="13" t="str">
        <f t="shared" si="18"/>
        <v>On-Time</v>
      </c>
      <c r="U243" s="14"/>
      <c r="V243" s="13" t="str">
        <f t="shared" si="19"/>
        <v>Low Quantity</v>
      </c>
      <c r="W243" s="16"/>
    </row>
    <row r="244" spans="1:23">
      <c r="A244" s="5" t="s">
        <v>303</v>
      </c>
      <c r="B244" s="6">
        <v>45799</v>
      </c>
      <c r="C244" s="7" t="s">
        <v>92</v>
      </c>
      <c r="D244" s="7" t="s">
        <v>18</v>
      </c>
      <c r="E244" s="5">
        <v>758</v>
      </c>
      <c r="F244" s="9">
        <v>3989.6</v>
      </c>
      <c r="G244" s="6">
        <v>45800</v>
      </c>
      <c r="H244" s="6">
        <v>45832</v>
      </c>
      <c r="I244" s="7" t="s">
        <v>35</v>
      </c>
      <c r="J244" s="7" t="s">
        <v>20</v>
      </c>
      <c r="K244" s="7" t="s">
        <v>21</v>
      </c>
      <c r="M244" s="13">
        <f t="shared" si="15"/>
        <v>32</v>
      </c>
      <c r="N244" s="14"/>
      <c r="O244" s="15">
        <f t="shared" si="16"/>
        <v>5.26332453825858</v>
      </c>
      <c r="P244" s="16"/>
      <c r="Q244" s="14">
        <f t="shared" si="17"/>
        <v>1</v>
      </c>
      <c r="R244" s="14"/>
      <c r="S244" s="14"/>
      <c r="T244" s="13" t="str">
        <f t="shared" si="18"/>
        <v>Delayed</v>
      </c>
      <c r="U244" s="14"/>
      <c r="V244" s="13" t="str">
        <f t="shared" si="19"/>
        <v>Low Quantity</v>
      </c>
      <c r="W244" s="16"/>
    </row>
    <row r="245" spans="1:23">
      <c r="A245" s="5" t="s">
        <v>304</v>
      </c>
      <c r="B245" s="6">
        <v>45869</v>
      </c>
      <c r="C245" s="7" t="s">
        <v>29</v>
      </c>
      <c r="D245" s="7" t="s">
        <v>39</v>
      </c>
      <c r="E245" s="8">
        <v>3931</v>
      </c>
      <c r="F245" s="9">
        <v>12680.05</v>
      </c>
      <c r="G245" s="6">
        <v>45871</v>
      </c>
      <c r="H245" s="6">
        <v>45876</v>
      </c>
      <c r="I245" s="7" t="s">
        <v>49</v>
      </c>
      <c r="J245" s="7" t="s">
        <v>44</v>
      </c>
      <c r="K245" s="7" t="s">
        <v>27</v>
      </c>
      <c r="M245" s="13">
        <f t="shared" si="15"/>
        <v>5</v>
      </c>
      <c r="N245" s="14"/>
      <c r="O245" s="15">
        <f t="shared" si="16"/>
        <v>3.2256550496057</v>
      </c>
      <c r="P245" s="16"/>
      <c r="Q245" s="14">
        <f t="shared" si="17"/>
        <v>2</v>
      </c>
      <c r="R245" s="14"/>
      <c r="S245" s="14"/>
      <c r="T245" s="13" t="str">
        <f t="shared" si="18"/>
        <v>On-Time</v>
      </c>
      <c r="U245" s="14"/>
      <c r="V245" s="13" t="str">
        <f t="shared" si="19"/>
        <v>High Quantity</v>
      </c>
      <c r="W245" s="16"/>
    </row>
    <row r="246" spans="1:23">
      <c r="A246" s="5" t="s">
        <v>305</v>
      </c>
      <c r="B246" s="6">
        <v>45915</v>
      </c>
      <c r="C246" s="7" t="s">
        <v>17</v>
      </c>
      <c r="D246" s="7" t="s">
        <v>100</v>
      </c>
      <c r="E246" s="8">
        <v>4634</v>
      </c>
      <c r="F246" s="9">
        <v>2007.88</v>
      </c>
      <c r="G246" s="6">
        <v>45918</v>
      </c>
      <c r="H246" s="6">
        <v>45928</v>
      </c>
      <c r="I246" s="7" t="s">
        <v>30</v>
      </c>
      <c r="J246" s="7" t="s">
        <v>26</v>
      </c>
      <c r="K246" s="7" t="s">
        <v>21</v>
      </c>
      <c r="M246" s="13">
        <f t="shared" si="15"/>
        <v>10</v>
      </c>
      <c r="N246" s="14"/>
      <c r="O246" s="15">
        <f t="shared" si="16"/>
        <v>0.433293051359517</v>
      </c>
      <c r="P246" s="16"/>
      <c r="Q246" s="14">
        <f t="shared" si="17"/>
        <v>3</v>
      </c>
      <c r="R246" s="14"/>
      <c r="S246" s="14"/>
      <c r="T246" s="13" t="str">
        <f t="shared" si="18"/>
        <v>Delayed</v>
      </c>
      <c r="U246" s="14"/>
      <c r="V246" s="13" t="str">
        <f t="shared" si="19"/>
        <v>High Quantity</v>
      </c>
      <c r="W246" s="16"/>
    </row>
    <row r="247" spans="1:23">
      <c r="A247" s="5" t="s">
        <v>306</v>
      </c>
      <c r="B247" s="6">
        <v>45802</v>
      </c>
      <c r="C247" s="7" t="s">
        <v>58</v>
      </c>
      <c r="D247" s="7" t="s">
        <v>39</v>
      </c>
      <c r="E247" s="8">
        <v>1133</v>
      </c>
      <c r="F247" s="9">
        <v>4324.8</v>
      </c>
      <c r="G247" s="6">
        <v>45803</v>
      </c>
      <c r="H247" s="6">
        <v>45809</v>
      </c>
      <c r="I247" s="7" t="s">
        <v>19</v>
      </c>
      <c r="J247" s="7" t="s">
        <v>44</v>
      </c>
      <c r="K247" s="7" t="s">
        <v>27</v>
      </c>
      <c r="M247" s="13">
        <f t="shared" si="15"/>
        <v>6</v>
      </c>
      <c r="N247" s="14"/>
      <c r="O247" s="15">
        <f t="shared" si="16"/>
        <v>3.8171226831421</v>
      </c>
      <c r="P247" s="16"/>
      <c r="Q247" s="14">
        <f t="shared" si="17"/>
        <v>1</v>
      </c>
      <c r="R247" s="14"/>
      <c r="S247" s="14"/>
      <c r="T247" s="13" t="str">
        <f t="shared" si="18"/>
        <v>On-Time</v>
      </c>
      <c r="U247" s="14"/>
      <c r="V247" s="13" t="str">
        <f t="shared" si="19"/>
        <v>Low Quantity</v>
      </c>
      <c r="W247" s="16"/>
    </row>
    <row r="248" spans="1:23">
      <c r="A248" s="5" t="s">
        <v>307</v>
      </c>
      <c r="B248" s="6">
        <v>45586</v>
      </c>
      <c r="C248" s="7" t="s">
        <v>87</v>
      </c>
      <c r="D248" s="7" t="s">
        <v>77</v>
      </c>
      <c r="E248" s="5">
        <v>645</v>
      </c>
      <c r="F248" s="9">
        <v>4317.83</v>
      </c>
      <c r="G248" s="6">
        <v>45587</v>
      </c>
      <c r="H248" s="6">
        <v>45627</v>
      </c>
      <c r="I248" s="7" t="s">
        <v>35</v>
      </c>
      <c r="J248" s="7" t="s">
        <v>20</v>
      </c>
      <c r="K248" s="7" t="s">
        <v>21</v>
      </c>
      <c r="M248" s="13">
        <f t="shared" si="15"/>
        <v>40</v>
      </c>
      <c r="N248" s="14"/>
      <c r="O248" s="15">
        <f t="shared" si="16"/>
        <v>6.69431007751938</v>
      </c>
      <c r="P248" s="16"/>
      <c r="Q248" s="14">
        <f t="shared" si="17"/>
        <v>1</v>
      </c>
      <c r="R248" s="14"/>
      <c r="S248" s="14"/>
      <c r="T248" s="13" t="str">
        <f t="shared" si="18"/>
        <v>Delayed</v>
      </c>
      <c r="U248" s="14"/>
      <c r="V248" s="13" t="str">
        <f t="shared" si="19"/>
        <v>Low Quantity</v>
      </c>
      <c r="W248" s="16"/>
    </row>
    <row r="249" spans="1:23">
      <c r="A249" s="5" t="s">
        <v>308</v>
      </c>
      <c r="B249" s="6">
        <v>45508</v>
      </c>
      <c r="C249" s="7" t="s">
        <v>29</v>
      </c>
      <c r="D249" s="7" t="s">
        <v>100</v>
      </c>
      <c r="E249" s="8">
        <v>4798</v>
      </c>
      <c r="F249" s="9">
        <v>3866.05</v>
      </c>
      <c r="G249" s="6">
        <v>45510</v>
      </c>
      <c r="H249" s="6">
        <v>45520</v>
      </c>
      <c r="I249" s="7" t="s">
        <v>49</v>
      </c>
      <c r="J249" s="7" t="s">
        <v>26</v>
      </c>
      <c r="K249" s="7" t="s">
        <v>21</v>
      </c>
      <c r="M249" s="13">
        <f t="shared" si="15"/>
        <v>10</v>
      </c>
      <c r="N249" s="14"/>
      <c r="O249" s="15">
        <f t="shared" si="16"/>
        <v>0.805762817840767</v>
      </c>
      <c r="P249" s="16"/>
      <c r="Q249" s="14">
        <f t="shared" si="17"/>
        <v>2</v>
      </c>
      <c r="R249" s="14"/>
      <c r="S249" s="14"/>
      <c r="T249" s="13" t="str">
        <f t="shared" si="18"/>
        <v>Delayed</v>
      </c>
      <c r="U249" s="14"/>
      <c r="V249" s="13" t="str">
        <f t="shared" si="19"/>
        <v>High Quantity</v>
      </c>
      <c r="W249" s="16"/>
    </row>
    <row r="250" spans="1:23">
      <c r="A250" s="5" t="s">
        <v>309</v>
      </c>
      <c r="B250" s="6">
        <v>45676</v>
      </c>
      <c r="C250" s="7" t="s">
        <v>24</v>
      </c>
      <c r="D250" s="7" t="s">
        <v>46</v>
      </c>
      <c r="E250" s="5">
        <v>617</v>
      </c>
      <c r="F250" s="9">
        <v>957.88</v>
      </c>
      <c r="G250" s="6">
        <v>45677</v>
      </c>
      <c r="H250" s="6">
        <v>45687</v>
      </c>
      <c r="I250" s="7" t="s">
        <v>19</v>
      </c>
      <c r="J250" s="7" t="s">
        <v>26</v>
      </c>
      <c r="K250" s="7" t="s">
        <v>21</v>
      </c>
      <c r="M250" s="13">
        <f t="shared" si="15"/>
        <v>10</v>
      </c>
      <c r="N250" s="14"/>
      <c r="O250" s="15">
        <f t="shared" si="16"/>
        <v>1.55247974068071</v>
      </c>
      <c r="P250" s="16"/>
      <c r="Q250" s="14">
        <f t="shared" si="17"/>
        <v>1</v>
      </c>
      <c r="R250" s="14"/>
      <c r="S250" s="14"/>
      <c r="T250" s="13" t="str">
        <f t="shared" si="18"/>
        <v>Delayed</v>
      </c>
      <c r="U250" s="14"/>
      <c r="V250" s="13" t="str">
        <f t="shared" si="19"/>
        <v>Low Quantity</v>
      </c>
      <c r="W250" s="16"/>
    </row>
    <row r="251" spans="1:23">
      <c r="A251" s="5" t="s">
        <v>310</v>
      </c>
      <c r="B251" s="6">
        <v>46004</v>
      </c>
      <c r="C251" s="7" t="s">
        <v>29</v>
      </c>
      <c r="D251" s="7" t="s">
        <v>51</v>
      </c>
      <c r="E251" s="8">
        <v>2288</v>
      </c>
      <c r="F251" s="9">
        <v>11528.69</v>
      </c>
      <c r="G251" s="6">
        <v>46007</v>
      </c>
      <c r="H251" s="6">
        <v>46013</v>
      </c>
      <c r="I251" s="7" t="s">
        <v>49</v>
      </c>
      <c r="J251" s="7" t="s">
        <v>26</v>
      </c>
      <c r="K251" s="7" t="s">
        <v>27</v>
      </c>
      <c r="M251" s="13">
        <f t="shared" si="15"/>
        <v>6</v>
      </c>
      <c r="N251" s="14"/>
      <c r="O251" s="15">
        <f t="shared" si="16"/>
        <v>5.03876311188811</v>
      </c>
      <c r="P251" s="16"/>
      <c r="Q251" s="14">
        <f t="shared" si="17"/>
        <v>3</v>
      </c>
      <c r="R251" s="14"/>
      <c r="S251" s="14"/>
      <c r="T251" s="13" t="str">
        <f t="shared" si="18"/>
        <v>On-Time</v>
      </c>
      <c r="U251" s="14"/>
      <c r="V251" s="13" t="str">
        <f t="shared" si="19"/>
        <v>Low Quantity</v>
      </c>
      <c r="W251" s="16"/>
    </row>
    <row r="252" spans="1:23">
      <c r="A252" s="5" t="s">
        <v>311</v>
      </c>
      <c r="B252" s="6">
        <v>45306</v>
      </c>
      <c r="C252" s="7" t="s">
        <v>58</v>
      </c>
      <c r="D252" s="7" t="s">
        <v>25</v>
      </c>
      <c r="E252" s="8">
        <v>4612</v>
      </c>
      <c r="F252" s="9">
        <v>728.35</v>
      </c>
      <c r="G252" s="6">
        <v>45307</v>
      </c>
      <c r="H252" s="6">
        <v>45317</v>
      </c>
      <c r="I252" s="7" t="s">
        <v>30</v>
      </c>
      <c r="J252" s="7" t="s">
        <v>26</v>
      </c>
      <c r="K252" s="7" t="s">
        <v>21</v>
      </c>
      <c r="M252" s="13">
        <f t="shared" si="15"/>
        <v>10</v>
      </c>
      <c r="N252" s="14"/>
      <c r="O252" s="15">
        <f t="shared" si="16"/>
        <v>0.157924978317433</v>
      </c>
      <c r="P252" s="16"/>
      <c r="Q252" s="14">
        <f t="shared" si="17"/>
        <v>1</v>
      </c>
      <c r="R252" s="14"/>
      <c r="S252" s="14"/>
      <c r="T252" s="13" t="str">
        <f t="shared" si="18"/>
        <v>Delayed</v>
      </c>
      <c r="U252" s="14"/>
      <c r="V252" s="13" t="str">
        <f t="shared" si="19"/>
        <v>High Quantity</v>
      </c>
      <c r="W252" s="16"/>
    </row>
    <row r="253" spans="1:23">
      <c r="A253" s="5" t="s">
        <v>312</v>
      </c>
      <c r="B253" s="6">
        <v>45629</v>
      </c>
      <c r="C253" s="7" t="s">
        <v>76</v>
      </c>
      <c r="D253" s="7" t="s">
        <v>46</v>
      </c>
      <c r="E253" s="8">
        <v>4546</v>
      </c>
      <c r="F253" s="9">
        <v>665.86</v>
      </c>
      <c r="G253" s="6">
        <v>45631</v>
      </c>
      <c r="H253" s="6">
        <v>45637</v>
      </c>
      <c r="I253" s="7" t="s">
        <v>35</v>
      </c>
      <c r="J253" s="7" t="s">
        <v>44</v>
      </c>
      <c r="K253" s="7" t="s">
        <v>27</v>
      </c>
      <c r="M253" s="13">
        <f t="shared" si="15"/>
        <v>6</v>
      </c>
      <c r="N253" s="14"/>
      <c r="O253" s="15">
        <f t="shared" si="16"/>
        <v>0.146471623405191</v>
      </c>
      <c r="P253" s="16"/>
      <c r="Q253" s="14">
        <f t="shared" si="17"/>
        <v>2</v>
      </c>
      <c r="R253" s="14"/>
      <c r="S253" s="14"/>
      <c r="T253" s="13" t="str">
        <f t="shared" si="18"/>
        <v>On-Time</v>
      </c>
      <c r="U253" s="14"/>
      <c r="V253" s="13" t="str">
        <f t="shared" si="19"/>
        <v>High Quantity</v>
      </c>
      <c r="W253" s="16"/>
    </row>
    <row r="254" spans="1:23">
      <c r="A254" s="5" t="s">
        <v>313</v>
      </c>
      <c r="B254" s="6">
        <v>45315</v>
      </c>
      <c r="C254" s="7" t="s">
        <v>33</v>
      </c>
      <c r="D254" s="7" t="s">
        <v>39</v>
      </c>
      <c r="E254" s="5">
        <v>980</v>
      </c>
      <c r="F254" s="9">
        <v>17304.01</v>
      </c>
      <c r="G254" s="6">
        <v>45316</v>
      </c>
      <c r="H254" s="6">
        <v>45318</v>
      </c>
      <c r="I254" s="7" t="s">
        <v>19</v>
      </c>
      <c r="J254" s="7" t="s">
        <v>59</v>
      </c>
      <c r="K254" s="7" t="s">
        <v>27</v>
      </c>
      <c r="M254" s="13">
        <f t="shared" si="15"/>
        <v>2</v>
      </c>
      <c r="N254" s="14"/>
      <c r="O254" s="15">
        <f t="shared" si="16"/>
        <v>17.6571530612245</v>
      </c>
      <c r="P254" s="16"/>
      <c r="Q254" s="14">
        <f t="shared" si="17"/>
        <v>1</v>
      </c>
      <c r="R254" s="14"/>
      <c r="S254" s="14"/>
      <c r="T254" s="13" t="str">
        <f t="shared" si="18"/>
        <v>On-Time</v>
      </c>
      <c r="U254" s="14"/>
      <c r="V254" s="13" t="str">
        <f t="shared" si="19"/>
        <v>Low Quantity</v>
      </c>
      <c r="W254" s="16"/>
    </row>
    <row r="255" spans="1:23">
      <c r="A255" s="5" t="s">
        <v>314</v>
      </c>
      <c r="B255" s="6">
        <v>45892</v>
      </c>
      <c r="C255" s="7" t="s">
        <v>38</v>
      </c>
      <c r="D255" s="7" t="s">
        <v>46</v>
      </c>
      <c r="E255" s="5">
        <v>811</v>
      </c>
      <c r="F255" s="9">
        <v>2833.33</v>
      </c>
      <c r="G255" s="6">
        <v>45893</v>
      </c>
      <c r="H255" s="6">
        <v>45931</v>
      </c>
      <c r="I255" s="7" t="s">
        <v>30</v>
      </c>
      <c r="J255" s="7" t="s">
        <v>20</v>
      </c>
      <c r="K255" s="7" t="s">
        <v>21</v>
      </c>
      <c r="M255" s="13">
        <f t="shared" si="15"/>
        <v>38</v>
      </c>
      <c r="N255" s="14"/>
      <c r="O255" s="15">
        <f t="shared" si="16"/>
        <v>3.4936251541307</v>
      </c>
      <c r="P255" s="16"/>
      <c r="Q255" s="14">
        <f t="shared" si="17"/>
        <v>1</v>
      </c>
      <c r="R255" s="14"/>
      <c r="S255" s="14"/>
      <c r="T255" s="13" t="str">
        <f t="shared" si="18"/>
        <v>Delayed</v>
      </c>
      <c r="U255" s="14"/>
      <c r="V255" s="13" t="str">
        <f t="shared" si="19"/>
        <v>Low Quantity</v>
      </c>
      <c r="W255" s="16"/>
    </row>
    <row r="256" spans="1:23">
      <c r="A256" s="5" t="s">
        <v>315</v>
      </c>
      <c r="B256" s="6">
        <v>45790</v>
      </c>
      <c r="C256" s="7" t="s">
        <v>68</v>
      </c>
      <c r="D256" s="7" t="s">
        <v>100</v>
      </c>
      <c r="E256" s="8">
        <v>3252</v>
      </c>
      <c r="F256" s="9">
        <v>340.66</v>
      </c>
      <c r="G256" s="6">
        <v>45792</v>
      </c>
      <c r="H256" s="6">
        <v>45799</v>
      </c>
      <c r="I256" s="7" t="s">
        <v>30</v>
      </c>
      <c r="J256" s="7" t="s">
        <v>44</v>
      </c>
      <c r="K256" s="7" t="s">
        <v>27</v>
      </c>
      <c r="M256" s="13">
        <f t="shared" si="15"/>
        <v>7</v>
      </c>
      <c r="N256" s="14"/>
      <c r="O256" s="15">
        <f t="shared" si="16"/>
        <v>0.104753997539975</v>
      </c>
      <c r="P256" s="16"/>
      <c r="Q256" s="14">
        <f t="shared" si="17"/>
        <v>2</v>
      </c>
      <c r="R256" s="14"/>
      <c r="S256" s="14"/>
      <c r="T256" s="13" t="str">
        <f t="shared" si="18"/>
        <v>On-Time</v>
      </c>
      <c r="U256" s="14"/>
      <c r="V256" s="13" t="str">
        <f t="shared" si="19"/>
        <v>High Quantity</v>
      </c>
      <c r="W256" s="16"/>
    </row>
    <row r="257" spans="1:23">
      <c r="A257" s="5" t="s">
        <v>316</v>
      </c>
      <c r="B257" s="6">
        <v>45401</v>
      </c>
      <c r="C257" s="7" t="s">
        <v>17</v>
      </c>
      <c r="D257" s="7" t="s">
        <v>77</v>
      </c>
      <c r="E257" s="8">
        <v>2202</v>
      </c>
      <c r="F257" s="9">
        <v>4290.95</v>
      </c>
      <c r="G257" s="6">
        <v>45404</v>
      </c>
      <c r="H257" s="6">
        <v>45412</v>
      </c>
      <c r="I257" s="7" t="s">
        <v>49</v>
      </c>
      <c r="J257" s="7" t="s">
        <v>26</v>
      </c>
      <c r="K257" s="7" t="s">
        <v>27</v>
      </c>
      <c r="M257" s="13">
        <f t="shared" si="15"/>
        <v>8</v>
      </c>
      <c r="N257" s="14"/>
      <c r="O257" s="15">
        <f t="shared" si="16"/>
        <v>1.94866030881017</v>
      </c>
      <c r="P257" s="16"/>
      <c r="Q257" s="14">
        <f t="shared" si="17"/>
        <v>3</v>
      </c>
      <c r="R257" s="14"/>
      <c r="S257" s="14"/>
      <c r="T257" s="13" t="str">
        <f t="shared" si="18"/>
        <v>On-Time</v>
      </c>
      <c r="U257" s="14"/>
      <c r="V257" s="13" t="str">
        <f t="shared" si="19"/>
        <v>Low Quantity</v>
      </c>
      <c r="W257" s="16"/>
    </row>
    <row r="258" spans="1:23">
      <c r="A258" s="5" t="s">
        <v>317</v>
      </c>
      <c r="B258" s="6">
        <v>45678</v>
      </c>
      <c r="C258" s="7" t="s">
        <v>33</v>
      </c>
      <c r="D258" s="7" t="s">
        <v>81</v>
      </c>
      <c r="E258" s="8">
        <v>1199</v>
      </c>
      <c r="F258" s="9">
        <v>2231.13</v>
      </c>
      <c r="G258" s="6">
        <v>45680</v>
      </c>
      <c r="H258" s="6">
        <v>45684</v>
      </c>
      <c r="I258" s="7" t="s">
        <v>19</v>
      </c>
      <c r="J258" s="7" t="s">
        <v>59</v>
      </c>
      <c r="K258" s="7" t="s">
        <v>27</v>
      </c>
      <c r="M258" s="13">
        <f t="shared" si="15"/>
        <v>4</v>
      </c>
      <c r="N258" s="14"/>
      <c r="O258" s="15">
        <f t="shared" si="16"/>
        <v>1.86082568807339</v>
      </c>
      <c r="P258" s="16"/>
      <c r="Q258" s="14">
        <f t="shared" si="17"/>
        <v>2</v>
      </c>
      <c r="R258" s="14"/>
      <c r="S258" s="14"/>
      <c r="T258" s="13" t="str">
        <f t="shared" si="18"/>
        <v>On-Time</v>
      </c>
      <c r="U258" s="14"/>
      <c r="V258" s="13" t="str">
        <f t="shared" si="19"/>
        <v>Low Quantity</v>
      </c>
      <c r="W258" s="16"/>
    </row>
    <row r="259" spans="1:23">
      <c r="A259" s="5" t="s">
        <v>318</v>
      </c>
      <c r="B259" s="6">
        <v>45663</v>
      </c>
      <c r="C259" s="7" t="s">
        <v>76</v>
      </c>
      <c r="D259" s="7" t="s">
        <v>77</v>
      </c>
      <c r="E259" s="8">
        <v>3980</v>
      </c>
      <c r="F259" s="9">
        <v>2299.13</v>
      </c>
      <c r="G259" s="6">
        <v>45666</v>
      </c>
      <c r="H259" s="6">
        <v>45676</v>
      </c>
      <c r="I259" s="7" t="s">
        <v>49</v>
      </c>
      <c r="J259" s="7" t="s">
        <v>44</v>
      </c>
      <c r="K259" s="7" t="s">
        <v>27</v>
      </c>
      <c r="M259" s="13">
        <f t="shared" ref="M259:M322" si="20">H259-G259</f>
        <v>10</v>
      </c>
      <c r="N259" s="14"/>
      <c r="O259" s="15">
        <f t="shared" ref="O259:O322" si="21">F259/E259</f>
        <v>0.577670854271357</v>
      </c>
      <c r="P259" s="16"/>
      <c r="Q259" s="14">
        <f t="shared" ref="Q259:Q322" si="22">G259-B259</f>
        <v>3</v>
      </c>
      <c r="R259" s="14"/>
      <c r="S259" s="14"/>
      <c r="T259" s="13" t="str">
        <f t="shared" ref="T259:T322" si="23">IF(K259="Yes","On-Time","Delayed")</f>
        <v>On-Time</v>
      </c>
      <c r="U259" s="14"/>
      <c r="V259" s="13" t="str">
        <f t="shared" ref="V259:V322" si="24">IF(E259&gt;=3000,"High Quantity","Low Quantity")</f>
        <v>High Quantity</v>
      </c>
      <c r="W259" s="16"/>
    </row>
    <row r="260" spans="1:23">
      <c r="A260" s="5" t="s">
        <v>319</v>
      </c>
      <c r="B260" s="6">
        <v>45986</v>
      </c>
      <c r="C260" s="7" t="s">
        <v>76</v>
      </c>
      <c r="D260" s="7" t="s">
        <v>39</v>
      </c>
      <c r="E260" s="8">
        <v>3502</v>
      </c>
      <c r="F260" s="9">
        <v>5874.45</v>
      </c>
      <c r="G260" s="6">
        <v>45989</v>
      </c>
      <c r="H260" s="6">
        <v>45995</v>
      </c>
      <c r="I260" s="7" t="s">
        <v>19</v>
      </c>
      <c r="J260" s="7" t="s">
        <v>44</v>
      </c>
      <c r="K260" s="7" t="s">
        <v>27</v>
      </c>
      <c r="M260" s="13">
        <f t="shared" si="20"/>
        <v>6</v>
      </c>
      <c r="N260" s="14"/>
      <c r="O260" s="15">
        <f t="shared" si="21"/>
        <v>1.67745573957738</v>
      </c>
      <c r="P260" s="16"/>
      <c r="Q260" s="14">
        <f t="shared" si="22"/>
        <v>3</v>
      </c>
      <c r="R260" s="14"/>
      <c r="S260" s="14"/>
      <c r="T260" s="13" t="str">
        <f t="shared" si="23"/>
        <v>On-Time</v>
      </c>
      <c r="U260" s="14"/>
      <c r="V260" s="13" t="str">
        <f t="shared" si="24"/>
        <v>High Quantity</v>
      </c>
      <c r="W260" s="16"/>
    </row>
    <row r="261" spans="1:23">
      <c r="A261" s="5" t="s">
        <v>320</v>
      </c>
      <c r="B261" s="6">
        <v>45902</v>
      </c>
      <c r="C261" s="7" t="s">
        <v>58</v>
      </c>
      <c r="D261" s="7" t="s">
        <v>77</v>
      </c>
      <c r="E261" s="5">
        <v>76</v>
      </c>
      <c r="F261" s="9">
        <v>8574.08</v>
      </c>
      <c r="G261" s="6">
        <v>45904</v>
      </c>
      <c r="H261" s="6">
        <v>45914</v>
      </c>
      <c r="I261" s="7" t="s">
        <v>49</v>
      </c>
      <c r="J261" s="7" t="s">
        <v>26</v>
      </c>
      <c r="K261" s="7" t="s">
        <v>21</v>
      </c>
      <c r="M261" s="13">
        <f t="shared" si="20"/>
        <v>10</v>
      </c>
      <c r="N261" s="14"/>
      <c r="O261" s="15">
        <f t="shared" si="21"/>
        <v>112.816842105263</v>
      </c>
      <c r="P261" s="16"/>
      <c r="Q261" s="14">
        <f t="shared" si="22"/>
        <v>2</v>
      </c>
      <c r="R261" s="14"/>
      <c r="S261" s="14"/>
      <c r="T261" s="13" t="str">
        <f t="shared" si="23"/>
        <v>Delayed</v>
      </c>
      <c r="U261" s="14"/>
      <c r="V261" s="13" t="str">
        <f t="shared" si="24"/>
        <v>Low Quantity</v>
      </c>
      <c r="W261" s="16"/>
    </row>
    <row r="262" spans="1:23">
      <c r="A262" s="5" t="s">
        <v>321</v>
      </c>
      <c r="B262" s="6">
        <v>45767</v>
      </c>
      <c r="C262" s="7" t="s">
        <v>79</v>
      </c>
      <c r="D262" s="7" t="s">
        <v>25</v>
      </c>
      <c r="E262" s="8">
        <v>4773</v>
      </c>
      <c r="F262" s="9">
        <v>2444.48</v>
      </c>
      <c r="G262" s="6">
        <v>45769</v>
      </c>
      <c r="H262" s="6">
        <v>45782</v>
      </c>
      <c r="I262" s="7" t="s">
        <v>19</v>
      </c>
      <c r="J262" s="7" t="s">
        <v>44</v>
      </c>
      <c r="K262" s="7" t="s">
        <v>21</v>
      </c>
      <c r="M262" s="13">
        <f t="shared" si="20"/>
        <v>13</v>
      </c>
      <c r="N262" s="14"/>
      <c r="O262" s="15">
        <f t="shared" si="21"/>
        <v>0.512147496333543</v>
      </c>
      <c r="P262" s="16"/>
      <c r="Q262" s="14">
        <f t="shared" si="22"/>
        <v>2</v>
      </c>
      <c r="R262" s="14"/>
      <c r="S262" s="14"/>
      <c r="T262" s="13" t="str">
        <f t="shared" si="23"/>
        <v>Delayed</v>
      </c>
      <c r="U262" s="14"/>
      <c r="V262" s="13" t="str">
        <f t="shared" si="24"/>
        <v>High Quantity</v>
      </c>
      <c r="W262" s="16"/>
    </row>
    <row r="263" spans="1:23">
      <c r="A263" s="5" t="s">
        <v>322</v>
      </c>
      <c r="B263" s="6">
        <v>45534</v>
      </c>
      <c r="C263" s="7" t="s">
        <v>68</v>
      </c>
      <c r="D263" s="7" t="s">
        <v>41</v>
      </c>
      <c r="E263" s="8">
        <v>2738</v>
      </c>
      <c r="F263" s="9">
        <v>23675.12</v>
      </c>
      <c r="G263" s="6">
        <v>45535</v>
      </c>
      <c r="H263" s="6">
        <v>45538</v>
      </c>
      <c r="I263" s="7" t="s">
        <v>35</v>
      </c>
      <c r="J263" s="7" t="s">
        <v>59</v>
      </c>
      <c r="K263" s="7" t="s">
        <v>27</v>
      </c>
      <c r="M263" s="13">
        <f t="shared" si="20"/>
        <v>3</v>
      </c>
      <c r="N263" s="14"/>
      <c r="O263" s="15">
        <f t="shared" si="21"/>
        <v>8.64686632578525</v>
      </c>
      <c r="P263" s="16"/>
      <c r="Q263" s="14">
        <f t="shared" si="22"/>
        <v>1</v>
      </c>
      <c r="R263" s="14"/>
      <c r="S263" s="14"/>
      <c r="T263" s="13" t="str">
        <f t="shared" si="23"/>
        <v>On-Time</v>
      </c>
      <c r="U263" s="14"/>
      <c r="V263" s="13" t="str">
        <f t="shared" si="24"/>
        <v>Low Quantity</v>
      </c>
      <c r="W263" s="16"/>
    </row>
    <row r="264" spans="1:23">
      <c r="A264" s="5" t="s">
        <v>323</v>
      </c>
      <c r="B264" s="6">
        <v>45753</v>
      </c>
      <c r="C264" s="7" t="s">
        <v>76</v>
      </c>
      <c r="D264" s="7" t="s">
        <v>25</v>
      </c>
      <c r="E264" s="8">
        <v>4526</v>
      </c>
      <c r="F264" s="9">
        <v>2772.83</v>
      </c>
      <c r="G264" s="6">
        <v>45754</v>
      </c>
      <c r="H264" s="6">
        <v>45757</v>
      </c>
      <c r="I264" s="7" t="s">
        <v>19</v>
      </c>
      <c r="J264" s="7" t="s">
        <v>59</v>
      </c>
      <c r="K264" s="7" t="s">
        <v>27</v>
      </c>
      <c r="M264" s="13">
        <f t="shared" si="20"/>
        <v>3</v>
      </c>
      <c r="N264" s="14"/>
      <c r="O264" s="15">
        <f t="shared" si="21"/>
        <v>0.612644719399028</v>
      </c>
      <c r="P264" s="16"/>
      <c r="Q264" s="14">
        <f t="shared" si="22"/>
        <v>1</v>
      </c>
      <c r="R264" s="14"/>
      <c r="S264" s="14"/>
      <c r="T264" s="13" t="str">
        <f t="shared" si="23"/>
        <v>On-Time</v>
      </c>
      <c r="U264" s="14"/>
      <c r="V264" s="13" t="str">
        <f t="shared" si="24"/>
        <v>High Quantity</v>
      </c>
      <c r="W264" s="16"/>
    </row>
    <row r="265" spans="1:23">
      <c r="A265" s="5" t="s">
        <v>324</v>
      </c>
      <c r="B265" s="6">
        <v>45496</v>
      </c>
      <c r="C265" s="7" t="s">
        <v>58</v>
      </c>
      <c r="D265" s="7" t="s">
        <v>81</v>
      </c>
      <c r="E265" s="8">
        <v>3944</v>
      </c>
      <c r="F265" s="9">
        <v>1436.13</v>
      </c>
      <c r="G265" s="6">
        <v>45499</v>
      </c>
      <c r="H265" s="6">
        <v>45508</v>
      </c>
      <c r="I265" s="7" t="s">
        <v>35</v>
      </c>
      <c r="J265" s="7" t="s">
        <v>26</v>
      </c>
      <c r="K265" s="7" t="s">
        <v>21</v>
      </c>
      <c r="M265" s="13">
        <f t="shared" si="20"/>
        <v>9</v>
      </c>
      <c r="N265" s="14"/>
      <c r="O265" s="15">
        <f t="shared" si="21"/>
        <v>0.364130324543611</v>
      </c>
      <c r="P265" s="16"/>
      <c r="Q265" s="14">
        <f t="shared" si="22"/>
        <v>3</v>
      </c>
      <c r="R265" s="14"/>
      <c r="S265" s="14"/>
      <c r="T265" s="13" t="str">
        <f t="shared" si="23"/>
        <v>Delayed</v>
      </c>
      <c r="U265" s="14"/>
      <c r="V265" s="13" t="str">
        <f t="shared" si="24"/>
        <v>High Quantity</v>
      </c>
      <c r="W265" s="16"/>
    </row>
    <row r="266" spans="1:23">
      <c r="A266" s="5" t="s">
        <v>325</v>
      </c>
      <c r="B266" s="6">
        <v>45978</v>
      </c>
      <c r="C266" s="7" t="s">
        <v>94</v>
      </c>
      <c r="D266" s="7" t="s">
        <v>34</v>
      </c>
      <c r="E266" s="8">
        <v>1170</v>
      </c>
      <c r="F266" s="9">
        <v>46017.38</v>
      </c>
      <c r="G266" s="6">
        <v>45980</v>
      </c>
      <c r="H266" s="6">
        <v>45984</v>
      </c>
      <c r="I266" s="7" t="s">
        <v>30</v>
      </c>
      <c r="J266" s="7" t="s">
        <v>26</v>
      </c>
      <c r="K266" s="7" t="s">
        <v>27</v>
      </c>
      <c r="M266" s="13">
        <f t="shared" si="20"/>
        <v>4</v>
      </c>
      <c r="N266" s="14"/>
      <c r="O266" s="15">
        <f t="shared" si="21"/>
        <v>39.331094017094</v>
      </c>
      <c r="P266" s="16"/>
      <c r="Q266" s="14">
        <f t="shared" si="22"/>
        <v>2</v>
      </c>
      <c r="R266" s="14"/>
      <c r="S266" s="14"/>
      <c r="T266" s="13" t="str">
        <f t="shared" si="23"/>
        <v>On-Time</v>
      </c>
      <c r="U266" s="14"/>
      <c r="V266" s="13" t="str">
        <f t="shared" si="24"/>
        <v>Low Quantity</v>
      </c>
      <c r="W266" s="16"/>
    </row>
    <row r="267" spans="1:23">
      <c r="A267" s="5" t="s">
        <v>326</v>
      </c>
      <c r="B267" s="6">
        <v>45666</v>
      </c>
      <c r="C267" s="7" t="s">
        <v>24</v>
      </c>
      <c r="D267" s="7" t="s">
        <v>77</v>
      </c>
      <c r="E267" s="8">
        <v>1405</v>
      </c>
      <c r="F267" s="9">
        <v>1251.27</v>
      </c>
      <c r="G267" s="6">
        <v>45669</v>
      </c>
      <c r="H267" s="6">
        <v>45677</v>
      </c>
      <c r="I267" s="7" t="s">
        <v>19</v>
      </c>
      <c r="J267" s="7" t="s">
        <v>26</v>
      </c>
      <c r="K267" s="7" t="s">
        <v>27</v>
      </c>
      <c r="M267" s="13">
        <f t="shared" si="20"/>
        <v>8</v>
      </c>
      <c r="N267" s="14"/>
      <c r="O267" s="15">
        <f t="shared" si="21"/>
        <v>0.890583629893238</v>
      </c>
      <c r="P267" s="16"/>
      <c r="Q267" s="14">
        <f t="shared" si="22"/>
        <v>3</v>
      </c>
      <c r="R267" s="14"/>
      <c r="S267" s="14"/>
      <c r="T267" s="13" t="str">
        <f t="shared" si="23"/>
        <v>On-Time</v>
      </c>
      <c r="U267" s="14"/>
      <c r="V267" s="13" t="str">
        <f t="shared" si="24"/>
        <v>Low Quantity</v>
      </c>
      <c r="W267" s="16"/>
    </row>
    <row r="268" spans="1:23">
      <c r="A268" s="5" t="s">
        <v>327</v>
      </c>
      <c r="B268" s="6">
        <v>45311</v>
      </c>
      <c r="C268" s="7" t="s">
        <v>38</v>
      </c>
      <c r="D268" s="7" t="s">
        <v>41</v>
      </c>
      <c r="E268" s="5">
        <v>271</v>
      </c>
      <c r="F268" s="9">
        <v>12392.31</v>
      </c>
      <c r="G268" s="6">
        <v>45313</v>
      </c>
      <c r="H268" s="6">
        <v>45323</v>
      </c>
      <c r="I268" s="7" t="s">
        <v>49</v>
      </c>
      <c r="J268" s="7" t="s">
        <v>26</v>
      </c>
      <c r="K268" s="7" t="s">
        <v>21</v>
      </c>
      <c r="M268" s="13">
        <f t="shared" si="20"/>
        <v>10</v>
      </c>
      <c r="N268" s="14"/>
      <c r="O268" s="15">
        <f t="shared" si="21"/>
        <v>45.7280811808118</v>
      </c>
      <c r="P268" s="16"/>
      <c r="Q268" s="14">
        <f t="shared" si="22"/>
        <v>2</v>
      </c>
      <c r="R268" s="14"/>
      <c r="S268" s="14"/>
      <c r="T268" s="13" t="str">
        <f t="shared" si="23"/>
        <v>Delayed</v>
      </c>
      <c r="U268" s="14"/>
      <c r="V268" s="13" t="str">
        <f t="shared" si="24"/>
        <v>Low Quantity</v>
      </c>
      <c r="W268" s="16"/>
    </row>
    <row r="269" spans="1:23">
      <c r="A269" s="5" t="s">
        <v>328</v>
      </c>
      <c r="B269" s="6">
        <v>45854</v>
      </c>
      <c r="C269" s="7" t="s">
        <v>17</v>
      </c>
      <c r="D269" s="7" t="s">
        <v>25</v>
      </c>
      <c r="E269" s="8">
        <v>1834</v>
      </c>
      <c r="F269" s="9">
        <v>4218.99</v>
      </c>
      <c r="G269" s="6">
        <v>45855</v>
      </c>
      <c r="H269" s="6">
        <v>45858</v>
      </c>
      <c r="I269" s="7" t="s">
        <v>35</v>
      </c>
      <c r="J269" s="7" t="s">
        <v>26</v>
      </c>
      <c r="K269" s="7" t="s">
        <v>27</v>
      </c>
      <c r="M269" s="13">
        <f t="shared" si="20"/>
        <v>3</v>
      </c>
      <c r="N269" s="14"/>
      <c r="O269" s="15">
        <f t="shared" si="21"/>
        <v>2.30043075245365</v>
      </c>
      <c r="P269" s="16"/>
      <c r="Q269" s="14">
        <f t="shared" si="22"/>
        <v>1</v>
      </c>
      <c r="R269" s="14"/>
      <c r="S269" s="14"/>
      <c r="T269" s="13" t="str">
        <f t="shared" si="23"/>
        <v>On-Time</v>
      </c>
      <c r="U269" s="14"/>
      <c r="V269" s="13" t="str">
        <f t="shared" si="24"/>
        <v>Low Quantity</v>
      </c>
      <c r="W269" s="16"/>
    </row>
    <row r="270" spans="1:23">
      <c r="A270" s="5" t="s">
        <v>329</v>
      </c>
      <c r="B270" s="6">
        <v>45652</v>
      </c>
      <c r="C270" s="7" t="s">
        <v>17</v>
      </c>
      <c r="D270" s="7" t="s">
        <v>100</v>
      </c>
      <c r="E270" s="8">
        <v>3215</v>
      </c>
      <c r="F270" s="9">
        <v>5159.92</v>
      </c>
      <c r="G270" s="6">
        <v>45653</v>
      </c>
      <c r="H270" s="6">
        <v>45663</v>
      </c>
      <c r="I270" s="7" t="s">
        <v>19</v>
      </c>
      <c r="J270" s="7" t="s">
        <v>44</v>
      </c>
      <c r="K270" s="7" t="s">
        <v>27</v>
      </c>
      <c r="M270" s="13">
        <f t="shared" si="20"/>
        <v>10</v>
      </c>
      <c r="N270" s="14"/>
      <c r="O270" s="15">
        <f t="shared" si="21"/>
        <v>1.60495178849145</v>
      </c>
      <c r="P270" s="16"/>
      <c r="Q270" s="14">
        <f t="shared" si="22"/>
        <v>1</v>
      </c>
      <c r="R270" s="14"/>
      <c r="S270" s="14"/>
      <c r="T270" s="13" t="str">
        <f t="shared" si="23"/>
        <v>On-Time</v>
      </c>
      <c r="U270" s="14"/>
      <c r="V270" s="13" t="str">
        <f t="shared" si="24"/>
        <v>High Quantity</v>
      </c>
      <c r="W270" s="16"/>
    </row>
    <row r="271" spans="1:23">
      <c r="A271" s="5" t="s">
        <v>330</v>
      </c>
      <c r="B271" s="6">
        <v>45406</v>
      </c>
      <c r="C271" s="7" t="s">
        <v>58</v>
      </c>
      <c r="D271" s="7" t="s">
        <v>34</v>
      </c>
      <c r="E271" s="8">
        <v>4347</v>
      </c>
      <c r="F271" s="9">
        <v>37685.37</v>
      </c>
      <c r="G271" s="6">
        <v>45407</v>
      </c>
      <c r="H271" s="6">
        <v>45411</v>
      </c>
      <c r="I271" s="7" t="s">
        <v>30</v>
      </c>
      <c r="J271" s="7" t="s">
        <v>26</v>
      </c>
      <c r="K271" s="7" t="s">
        <v>27</v>
      </c>
      <c r="M271" s="13">
        <f t="shared" si="20"/>
        <v>4</v>
      </c>
      <c r="N271" s="14"/>
      <c r="O271" s="15">
        <f t="shared" si="21"/>
        <v>8.66928226363009</v>
      </c>
      <c r="P271" s="16"/>
      <c r="Q271" s="14">
        <f t="shared" si="22"/>
        <v>1</v>
      </c>
      <c r="R271" s="14"/>
      <c r="S271" s="14"/>
      <c r="T271" s="13" t="str">
        <f t="shared" si="23"/>
        <v>On-Time</v>
      </c>
      <c r="U271" s="14"/>
      <c r="V271" s="13" t="str">
        <f t="shared" si="24"/>
        <v>High Quantity</v>
      </c>
      <c r="W271" s="16"/>
    </row>
    <row r="272" spans="1:23">
      <c r="A272" s="5" t="s">
        <v>331</v>
      </c>
      <c r="B272" s="6">
        <v>45461</v>
      </c>
      <c r="C272" s="7" t="s">
        <v>76</v>
      </c>
      <c r="D272" s="7" t="s">
        <v>39</v>
      </c>
      <c r="E272" s="5">
        <v>946</v>
      </c>
      <c r="F272" s="9">
        <v>14562.37</v>
      </c>
      <c r="G272" s="6">
        <v>45464</v>
      </c>
      <c r="H272" s="6">
        <v>45468</v>
      </c>
      <c r="I272" s="7" t="s">
        <v>30</v>
      </c>
      <c r="J272" s="7" t="s">
        <v>26</v>
      </c>
      <c r="K272" s="7" t="s">
        <v>27</v>
      </c>
      <c r="M272" s="13">
        <f t="shared" si="20"/>
        <v>4</v>
      </c>
      <c r="N272" s="14"/>
      <c r="O272" s="15">
        <f t="shared" si="21"/>
        <v>15.3936257928118</v>
      </c>
      <c r="P272" s="16"/>
      <c r="Q272" s="14">
        <f t="shared" si="22"/>
        <v>3</v>
      </c>
      <c r="R272" s="14"/>
      <c r="S272" s="14"/>
      <c r="T272" s="13" t="str">
        <f t="shared" si="23"/>
        <v>On-Time</v>
      </c>
      <c r="U272" s="14"/>
      <c r="V272" s="13" t="str">
        <f t="shared" si="24"/>
        <v>Low Quantity</v>
      </c>
      <c r="W272" s="16"/>
    </row>
    <row r="273" spans="1:23">
      <c r="A273" s="5" t="s">
        <v>332</v>
      </c>
      <c r="B273" s="6">
        <v>45826</v>
      </c>
      <c r="C273" s="7" t="s">
        <v>29</v>
      </c>
      <c r="D273" s="7" t="s">
        <v>41</v>
      </c>
      <c r="E273" s="8">
        <v>3204</v>
      </c>
      <c r="F273" s="9">
        <v>18987.83</v>
      </c>
      <c r="G273" s="6">
        <v>45829</v>
      </c>
      <c r="H273" s="6">
        <v>45834</v>
      </c>
      <c r="I273" s="7" t="s">
        <v>19</v>
      </c>
      <c r="J273" s="7" t="s">
        <v>26</v>
      </c>
      <c r="K273" s="7" t="s">
        <v>27</v>
      </c>
      <c r="M273" s="13">
        <f t="shared" si="20"/>
        <v>5</v>
      </c>
      <c r="N273" s="14"/>
      <c r="O273" s="15">
        <f t="shared" si="21"/>
        <v>5.92628901373283</v>
      </c>
      <c r="P273" s="16"/>
      <c r="Q273" s="14">
        <f t="shared" si="22"/>
        <v>3</v>
      </c>
      <c r="R273" s="14"/>
      <c r="S273" s="14"/>
      <c r="T273" s="13" t="str">
        <f t="shared" si="23"/>
        <v>On-Time</v>
      </c>
      <c r="U273" s="14"/>
      <c r="V273" s="13" t="str">
        <f t="shared" si="24"/>
        <v>High Quantity</v>
      </c>
      <c r="W273" s="16"/>
    </row>
    <row r="274" spans="1:23">
      <c r="A274" s="5" t="s">
        <v>333</v>
      </c>
      <c r="B274" s="6">
        <v>45356</v>
      </c>
      <c r="C274" s="7" t="s">
        <v>29</v>
      </c>
      <c r="D274" s="7" t="s">
        <v>77</v>
      </c>
      <c r="E274" s="8">
        <v>2077</v>
      </c>
      <c r="F274" s="9">
        <v>11803.05</v>
      </c>
      <c r="G274" s="6">
        <v>45358</v>
      </c>
      <c r="H274" s="6">
        <v>45364</v>
      </c>
      <c r="I274" s="7" t="s">
        <v>49</v>
      </c>
      <c r="J274" s="7" t="s">
        <v>26</v>
      </c>
      <c r="K274" s="7" t="s">
        <v>27</v>
      </c>
      <c r="M274" s="13">
        <f t="shared" si="20"/>
        <v>6</v>
      </c>
      <c r="N274" s="14"/>
      <c r="O274" s="15">
        <f t="shared" si="21"/>
        <v>5.68273952816562</v>
      </c>
      <c r="P274" s="16"/>
      <c r="Q274" s="14">
        <f t="shared" si="22"/>
        <v>2</v>
      </c>
      <c r="R274" s="14"/>
      <c r="S274" s="14"/>
      <c r="T274" s="13" t="str">
        <f t="shared" si="23"/>
        <v>On-Time</v>
      </c>
      <c r="U274" s="14"/>
      <c r="V274" s="13" t="str">
        <f t="shared" si="24"/>
        <v>Low Quantity</v>
      </c>
      <c r="W274" s="16"/>
    </row>
    <row r="275" spans="1:23">
      <c r="A275" s="5" t="s">
        <v>334</v>
      </c>
      <c r="B275" s="6">
        <v>45462</v>
      </c>
      <c r="C275" s="7" t="s">
        <v>17</v>
      </c>
      <c r="D275" s="7" t="s">
        <v>81</v>
      </c>
      <c r="E275" s="8">
        <v>4604</v>
      </c>
      <c r="F275" s="9">
        <v>234.34</v>
      </c>
      <c r="G275" s="6">
        <v>45465</v>
      </c>
      <c r="H275" s="6">
        <v>45469</v>
      </c>
      <c r="I275" s="7" t="s">
        <v>19</v>
      </c>
      <c r="J275" s="7" t="s">
        <v>59</v>
      </c>
      <c r="K275" s="7" t="s">
        <v>27</v>
      </c>
      <c r="M275" s="13">
        <f t="shared" si="20"/>
        <v>4</v>
      </c>
      <c r="N275" s="14"/>
      <c r="O275" s="15">
        <f t="shared" si="21"/>
        <v>0.0508992180712424</v>
      </c>
      <c r="P275" s="16"/>
      <c r="Q275" s="14">
        <f t="shared" si="22"/>
        <v>3</v>
      </c>
      <c r="R275" s="14"/>
      <c r="S275" s="14"/>
      <c r="T275" s="13" t="str">
        <f t="shared" si="23"/>
        <v>On-Time</v>
      </c>
      <c r="U275" s="14"/>
      <c r="V275" s="13" t="str">
        <f t="shared" si="24"/>
        <v>High Quantity</v>
      </c>
      <c r="W275" s="16"/>
    </row>
    <row r="276" spans="1:23">
      <c r="A276" s="5" t="s">
        <v>335</v>
      </c>
      <c r="B276" s="6">
        <v>45576</v>
      </c>
      <c r="C276" s="7" t="s">
        <v>24</v>
      </c>
      <c r="D276" s="7" t="s">
        <v>34</v>
      </c>
      <c r="E276" s="8">
        <v>2088</v>
      </c>
      <c r="F276" s="9">
        <v>4075.25</v>
      </c>
      <c r="G276" s="6">
        <v>45579</v>
      </c>
      <c r="H276" s="6">
        <v>45583</v>
      </c>
      <c r="I276" s="7" t="s">
        <v>19</v>
      </c>
      <c r="J276" s="7" t="s">
        <v>26</v>
      </c>
      <c r="K276" s="7" t="s">
        <v>27</v>
      </c>
      <c r="M276" s="13">
        <f t="shared" si="20"/>
        <v>4</v>
      </c>
      <c r="N276" s="14"/>
      <c r="O276" s="15">
        <f t="shared" si="21"/>
        <v>1.95174808429119</v>
      </c>
      <c r="P276" s="16"/>
      <c r="Q276" s="14">
        <f t="shared" si="22"/>
        <v>3</v>
      </c>
      <c r="R276" s="14"/>
      <c r="S276" s="14"/>
      <c r="T276" s="13" t="str">
        <f t="shared" si="23"/>
        <v>On-Time</v>
      </c>
      <c r="U276" s="14"/>
      <c r="V276" s="13" t="str">
        <f t="shared" si="24"/>
        <v>Low Quantity</v>
      </c>
      <c r="W276" s="16"/>
    </row>
    <row r="277" spans="1:23">
      <c r="A277" s="5" t="s">
        <v>336</v>
      </c>
      <c r="B277" s="6">
        <v>45877</v>
      </c>
      <c r="C277" s="7" t="s">
        <v>65</v>
      </c>
      <c r="D277" s="7" t="s">
        <v>100</v>
      </c>
      <c r="E277" s="8">
        <v>1987</v>
      </c>
      <c r="F277" s="9">
        <v>3537.67</v>
      </c>
      <c r="G277" s="6">
        <v>45880</v>
      </c>
      <c r="H277" s="6">
        <v>45884</v>
      </c>
      <c r="I277" s="7" t="s">
        <v>35</v>
      </c>
      <c r="J277" s="7" t="s">
        <v>26</v>
      </c>
      <c r="K277" s="7" t="s">
        <v>27</v>
      </c>
      <c r="M277" s="13">
        <f t="shared" si="20"/>
        <v>4</v>
      </c>
      <c r="N277" s="14"/>
      <c r="O277" s="15">
        <f t="shared" si="21"/>
        <v>1.7804076497232</v>
      </c>
      <c r="P277" s="16"/>
      <c r="Q277" s="14">
        <f t="shared" si="22"/>
        <v>3</v>
      </c>
      <c r="R277" s="14"/>
      <c r="S277" s="14"/>
      <c r="T277" s="13" t="str">
        <f t="shared" si="23"/>
        <v>On-Time</v>
      </c>
      <c r="U277" s="14"/>
      <c r="V277" s="13" t="str">
        <f t="shared" si="24"/>
        <v>Low Quantity</v>
      </c>
      <c r="W277" s="16"/>
    </row>
    <row r="278" spans="1:23">
      <c r="A278" s="5" t="s">
        <v>337</v>
      </c>
      <c r="B278" s="6">
        <v>45488</v>
      </c>
      <c r="C278" s="7" t="s">
        <v>76</v>
      </c>
      <c r="D278" s="7" t="s">
        <v>25</v>
      </c>
      <c r="E278" s="8">
        <v>3692</v>
      </c>
      <c r="F278" s="9">
        <v>1109.09</v>
      </c>
      <c r="G278" s="6">
        <v>45489</v>
      </c>
      <c r="H278" s="6">
        <v>45494</v>
      </c>
      <c r="I278" s="7" t="s">
        <v>30</v>
      </c>
      <c r="J278" s="7" t="s">
        <v>59</v>
      </c>
      <c r="K278" s="7" t="s">
        <v>27</v>
      </c>
      <c r="M278" s="13">
        <f t="shared" si="20"/>
        <v>5</v>
      </c>
      <c r="N278" s="14"/>
      <c r="O278" s="15">
        <f t="shared" si="21"/>
        <v>0.300403575297941</v>
      </c>
      <c r="P278" s="16"/>
      <c r="Q278" s="14">
        <f t="shared" si="22"/>
        <v>1</v>
      </c>
      <c r="R278" s="14"/>
      <c r="S278" s="14"/>
      <c r="T278" s="13" t="str">
        <f t="shared" si="23"/>
        <v>On-Time</v>
      </c>
      <c r="U278" s="14"/>
      <c r="V278" s="13" t="str">
        <f t="shared" si="24"/>
        <v>High Quantity</v>
      </c>
      <c r="W278" s="16"/>
    </row>
    <row r="279" spans="1:23">
      <c r="A279" s="5" t="s">
        <v>338</v>
      </c>
      <c r="B279" s="6">
        <v>45846</v>
      </c>
      <c r="C279" s="7" t="s">
        <v>24</v>
      </c>
      <c r="D279" s="7" t="s">
        <v>18</v>
      </c>
      <c r="E279" s="5">
        <v>744</v>
      </c>
      <c r="F279" s="9">
        <v>395.28</v>
      </c>
      <c r="G279" s="6">
        <v>45849</v>
      </c>
      <c r="H279" s="6">
        <v>45853</v>
      </c>
      <c r="I279" s="7" t="s">
        <v>35</v>
      </c>
      <c r="J279" s="7" t="s">
        <v>26</v>
      </c>
      <c r="K279" s="7" t="s">
        <v>27</v>
      </c>
      <c r="M279" s="13">
        <f t="shared" si="20"/>
        <v>4</v>
      </c>
      <c r="N279" s="14"/>
      <c r="O279" s="15">
        <f t="shared" si="21"/>
        <v>0.531290322580645</v>
      </c>
      <c r="P279" s="16"/>
      <c r="Q279" s="14">
        <f t="shared" si="22"/>
        <v>3</v>
      </c>
      <c r="R279" s="14"/>
      <c r="S279" s="14"/>
      <c r="T279" s="13" t="str">
        <f t="shared" si="23"/>
        <v>On-Time</v>
      </c>
      <c r="U279" s="14"/>
      <c r="V279" s="13" t="str">
        <f t="shared" si="24"/>
        <v>Low Quantity</v>
      </c>
      <c r="W279" s="16"/>
    </row>
    <row r="280" spans="1:23">
      <c r="A280" s="5" t="s">
        <v>339</v>
      </c>
      <c r="B280" s="6">
        <v>45308</v>
      </c>
      <c r="C280" s="7" t="s">
        <v>56</v>
      </c>
      <c r="D280" s="7" t="s">
        <v>100</v>
      </c>
      <c r="E280" s="5">
        <v>791</v>
      </c>
      <c r="F280" s="9">
        <v>5592.64</v>
      </c>
      <c r="G280" s="6">
        <v>45311</v>
      </c>
      <c r="H280" s="6">
        <v>45314</v>
      </c>
      <c r="I280" s="7" t="s">
        <v>49</v>
      </c>
      <c r="J280" s="7" t="s">
        <v>59</v>
      </c>
      <c r="K280" s="7" t="s">
        <v>27</v>
      </c>
      <c r="M280" s="13">
        <f t="shared" si="20"/>
        <v>3</v>
      </c>
      <c r="N280" s="14"/>
      <c r="O280" s="15">
        <f t="shared" si="21"/>
        <v>7.07034134007585</v>
      </c>
      <c r="P280" s="16"/>
      <c r="Q280" s="14">
        <f t="shared" si="22"/>
        <v>3</v>
      </c>
      <c r="R280" s="14"/>
      <c r="S280" s="14"/>
      <c r="T280" s="13" t="str">
        <f t="shared" si="23"/>
        <v>On-Time</v>
      </c>
      <c r="U280" s="14"/>
      <c r="V280" s="13" t="str">
        <f t="shared" si="24"/>
        <v>Low Quantity</v>
      </c>
      <c r="W280" s="16"/>
    </row>
    <row r="281" spans="1:23">
      <c r="A281" s="5" t="s">
        <v>340</v>
      </c>
      <c r="B281" s="6">
        <v>45792</v>
      </c>
      <c r="C281" s="7" t="s">
        <v>33</v>
      </c>
      <c r="D281" s="7" t="s">
        <v>100</v>
      </c>
      <c r="E281" s="8">
        <v>2679</v>
      </c>
      <c r="F281" s="9">
        <v>4812.1</v>
      </c>
      <c r="G281" s="6">
        <v>45794</v>
      </c>
      <c r="H281" s="6">
        <v>45796</v>
      </c>
      <c r="I281" s="7" t="s">
        <v>49</v>
      </c>
      <c r="J281" s="7" t="s">
        <v>26</v>
      </c>
      <c r="K281" s="7" t="s">
        <v>27</v>
      </c>
      <c r="M281" s="13">
        <f t="shared" si="20"/>
        <v>2</v>
      </c>
      <c r="N281" s="14"/>
      <c r="O281" s="15">
        <f t="shared" si="21"/>
        <v>1.79622993654349</v>
      </c>
      <c r="P281" s="16"/>
      <c r="Q281" s="14">
        <f t="shared" si="22"/>
        <v>2</v>
      </c>
      <c r="R281" s="14"/>
      <c r="S281" s="14"/>
      <c r="T281" s="13" t="str">
        <f t="shared" si="23"/>
        <v>On-Time</v>
      </c>
      <c r="U281" s="14"/>
      <c r="V281" s="13" t="str">
        <f t="shared" si="24"/>
        <v>Low Quantity</v>
      </c>
      <c r="W281" s="16"/>
    </row>
    <row r="282" spans="1:23">
      <c r="A282" s="5" t="s">
        <v>341</v>
      </c>
      <c r="B282" s="6">
        <v>45448</v>
      </c>
      <c r="C282" s="7" t="s">
        <v>29</v>
      </c>
      <c r="D282" s="7" t="s">
        <v>100</v>
      </c>
      <c r="E282" s="8">
        <v>2279</v>
      </c>
      <c r="F282" s="9">
        <v>3909.19</v>
      </c>
      <c r="G282" s="6">
        <v>45450</v>
      </c>
      <c r="H282" s="6">
        <v>45455</v>
      </c>
      <c r="I282" s="7" t="s">
        <v>19</v>
      </c>
      <c r="J282" s="7" t="s">
        <v>26</v>
      </c>
      <c r="K282" s="7" t="s">
        <v>27</v>
      </c>
      <c r="M282" s="13">
        <f t="shared" si="20"/>
        <v>5</v>
      </c>
      <c r="N282" s="14"/>
      <c r="O282" s="15">
        <f t="shared" si="21"/>
        <v>1.71530934620448</v>
      </c>
      <c r="P282" s="16"/>
      <c r="Q282" s="14">
        <f t="shared" si="22"/>
        <v>2</v>
      </c>
      <c r="R282" s="14"/>
      <c r="S282" s="14"/>
      <c r="T282" s="13" t="str">
        <f t="shared" si="23"/>
        <v>On-Time</v>
      </c>
      <c r="U282" s="14"/>
      <c r="V282" s="13" t="str">
        <f t="shared" si="24"/>
        <v>Low Quantity</v>
      </c>
      <c r="W282" s="16"/>
    </row>
    <row r="283" spans="1:23">
      <c r="A283" s="5" t="s">
        <v>342</v>
      </c>
      <c r="B283" s="6">
        <v>45778</v>
      </c>
      <c r="C283" s="7" t="s">
        <v>54</v>
      </c>
      <c r="D283" s="7" t="s">
        <v>46</v>
      </c>
      <c r="E283" s="8">
        <v>4607</v>
      </c>
      <c r="F283" s="9">
        <v>1686.77</v>
      </c>
      <c r="G283" s="6">
        <v>45780</v>
      </c>
      <c r="H283" s="6">
        <v>45794</v>
      </c>
      <c r="I283" s="7" t="s">
        <v>19</v>
      </c>
      <c r="J283" s="7" t="s">
        <v>44</v>
      </c>
      <c r="K283" s="7" t="s">
        <v>21</v>
      </c>
      <c r="M283" s="13">
        <f t="shared" si="20"/>
        <v>14</v>
      </c>
      <c r="N283" s="14"/>
      <c r="O283" s="15">
        <f t="shared" si="21"/>
        <v>0.366131973084437</v>
      </c>
      <c r="P283" s="16"/>
      <c r="Q283" s="14">
        <f t="shared" si="22"/>
        <v>2</v>
      </c>
      <c r="R283" s="14"/>
      <c r="S283" s="14"/>
      <c r="T283" s="13" t="str">
        <f t="shared" si="23"/>
        <v>Delayed</v>
      </c>
      <c r="U283" s="14"/>
      <c r="V283" s="13" t="str">
        <f t="shared" si="24"/>
        <v>High Quantity</v>
      </c>
      <c r="W283" s="16"/>
    </row>
    <row r="284" spans="1:23">
      <c r="A284" s="5" t="s">
        <v>343</v>
      </c>
      <c r="B284" s="6">
        <v>45903</v>
      </c>
      <c r="C284" s="7" t="s">
        <v>58</v>
      </c>
      <c r="D284" s="7" t="s">
        <v>77</v>
      </c>
      <c r="E284" s="5">
        <v>224</v>
      </c>
      <c r="F284" s="9">
        <v>14907.3</v>
      </c>
      <c r="G284" s="6">
        <v>45905</v>
      </c>
      <c r="H284" s="6">
        <v>45908</v>
      </c>
      <c r="I284" s="7" t="s">
        <v>49</v>
      </c>
      <c r="J284" s="7" t="s">
        <v>59</v>
      </c>
      <c r="K284" s="7" t="s">
        <v>27</v>
      </c>
      <c r="M284" s="13">
        <f t="shared" si="20"/>
        <v>3</v>
      </c>
      <c r="N284" s="14"/>
      <c r="O284" s="15">
        <f t="shared" si="21"/>
        <v>66.5504464285714</v>
      </c>
      <c r="P284" s="16"/>
      <c r="Q284" s="14">
        <f t="shared" si="22"/>
        <v>2</v>
      </c>
      <c r="R284" s="14"/>
      <c r="S284" s="14"/>
      <c r="T284" s="13" t="str">
        <f t="shared" si="23"/>
        <v>On-Time</v>
      </c>
      <c r="U284" s="14"/>
      <c r="V284" s="13" t="str">
        <f t="shared" si="24"/>
        <v>Low Quantity</v>
      </c>
      <c r="W284" s="16"/>
    </row>
    <row r="285" spans="1:23">
      <c r="A285" s="5" t="s">
        <v>344</v>
      </c>
      <c r="B285" s="6">
        <v>45573</v>
      </c>
      <c r="C285" s="7" t="s">
        <v>38</v>
      </c>
      <c r="D285" s="7" t="s">
        <v>77</v>
      </c>
      <c r="E285" s="5">
        <v>391</v>
      </c>
      <c r="F285" s="9">
        <v>5467.5</v>
      </c>
      <c r="G285" s="6">
        <v>45574</v>
      </c>
      <c r="H285" s="6">
        <v>45579</v>
      </c>
      <c r="I285" s="7" t="s">
        <v>19</v>
      </c>
      <c r="J285" s="7" t="s">
        <v>59</v>
      </c>
      <c r="K285" s="7" t="s">
        <v>27</v>
      </c>
      <c r="M285" s="13">
        <f t="shared" si="20"/>
        <v>5</v>
      </c>
      <c r="N285" s="14"/>
      <c r="O285" s="15">
        <f t="shared" si="21"/>
        <v>13.9833759590793</v>
      </c>
      <c r="P285" s="16"/>
      <c r="Q285" s="14">
        <f t="shared" si="22"/>
        <v>1</v>
      </c>
      <c r="R285" s="14"/>
      <c r="S285" s="14"/>
      <c r="T285" s="13" t="str">
        <f t="shared" si="23"/>
        <v>On-Time</v>
      </c>
      <c r="U285" s="14"/>
      <c r="V285" s="13" t="str">
        <f t="shared" si="24"/>
        <v>Low Quantity</v>
      </c>
      <c r="W285" s="16"/>
    </row>
    <row r="286" spans="1:23">
      <c r="A286" s="5" t="s">
        <v>345</v>
      </c>
      <c r="B286" s="6">
        <v>45546</v>
      </c>
      <c r="C286" s="7" t="s">
        <v>29</v>
      </c>
      <c r="D286" s="7" t="s">
        <v>51</v>
      </c>
      <c r="E286" s="8">
        <v>2388</v>
      </c>
      <c r="F286" s="9">
        <v>8062.3</v>
      </c>
      <c r="G286" s="6">
        <v>45547</v>
      </c>
      <c r="H286" s="6">
        <v>45552</v>
      </c>
      <c r="I286" s="7" t="s">
        <v>30</v>
      </c>
      <c r="J286" s="7" t="s">
        <v>26</v>
      </c>
      <c r="K286" s="7" t="s">
        <v>27</v>
      </c>
      <c r="M286" s="13">
        <f t="shared" si="20"/>
        <v>5</v>
      </c>
      <c r="N286" s="14"/>
      <c r="O286" s="15">
        <f t="shared" si="21"/>
        <v>3.37617252931323</v>
      </c>
      <c r="P286" s="16"/>
      <c r="Q286" s="14">
        <f t="shared" si="22"/>
        <v>1</v>
      </c>
      <c r="R286" s="14"/>
      <c r="S286" s="14"/>
      <c r="T286" s="13" t="str">
        <f t="shared" si="23"/>
        <v>On-Time</v>
      </c>
      <c r="U286" s="14"/>
      <c r="V286" s="13" t="str">
        <f t="shared" si="24"/>
        <v>Low Quantity</v>
      </c>
      <c r="W286" s="16"/>
    </row>
    <row r="287" spans="1:23">
      <c r="A287" s="5" t="s">
        <v>346</v>
      </c>
      <c r="B287" s="6">
        <v>45310</v>
      </c>
      <c r="C287" s="7" t="s">
        <v>79</v>
      </c>
      <c r="D287" s="7" t="s">
        <v>51</v>
      </c>
      <c r="E287" s="8">
        <v>3818</v>
      </c>
      <c r="F287" s="9">
        <v>5098.35</v>
      </c>
      <c r="G287" s="6">
        <v>45312</v>
      </c>
      <c r="H287" s="6">
        <v>45315</v>
      </c>
      <c r="I287" s="7" t="s">
        <v>19</v>
      </c>
      <c r="J287" s="7" t="s">
        <v>26</v>
      </c>
      <c r="K287" s="7" t="s">
        <v>27</v>
      </c>
      <c r="M287" s="13">
        <f t="shared" si="20"/>
        <v>3</v>
      </c>
      <c r="N287" s="14"/>
      <c r="O287" s="15">
        <f t="shared" si="21"/>
        <v>1.33534573074908</v>
      </c>
      <c r="P287" s="16"/>
      <c r="Q287" s="14">
        <f t="shared" si="22"/>
        <v>2</v>
      </c>
      <c r="R287" s="14"/>
      <c r="S287" s="14"/>
      <c r="T287" s="13" t="str">
        <f t="shared" si="23"/>
        <v>On-Time</v>
      </c>
      <c r="U287" s="14"/>
      <c r="V287" s="13" t="str">
        <f t="shared" si="24"/>
        <v>High Quantity</v>
      </c>
      <c r="W287" s="16"/>
    </row>
    <row r="288" spans="1:23">
      <c r="A288" s="5" t="s">
        <v>347</v>
      </c>
      <c r="B288" s="6">
        <v>45780</v>
      </c>
      <c r="C288" s="7" t="s">
        <v>33</v>
      </c>
      <c r="D288" s="7" t="s">
        <v>51</v>
      </c>
      <c r="E288" s="8">
        <v>4693</v>
      </c>
      <c r="F288" s="9">
        <v>5552.01</v>
      </c>
      <c r="G288" s="6">
        <v>45783</v>
      </c>
      <c r="H288" s="6">
        <v>45798</v>
      </c>
      <c r="I288" s="7" t="s">
        <v>19</v>
      </c>
      <c r="J288" s="7" t="s">
        <v>44</v>
      </c>
      <c r="K288" s="7" t="s">
        <v>21</v>
      </c>
      <c r="M288" s="13">
        <f t="shared" si="20"/>
        <v>15</v>
      </c>
      <c r="N288" s="14"/>
      <c r="O288" s="15">
        <f t="shared" si="21"/>
        <v>1.18304069891328</v>
      </c>
      <c r="P288" s="16"/>
      <c r="Q288" s="14">
        <f t="shared" si="22"/>
        <v>3</v>
      </c>
      <c r="R288" s="14"/>
      <c r="S288" s="14"/>
      <c r="T288" s="13" t="str">
        <f t="shared" si="23"/>
        <v>Delayed</v>
      </c>
      <c r="U288" s="14"/>
      <c r="V288" s="13" t="str">
        <f t="shared" si="24"/>
        <v>High Quantity</v>
      </c>
      <c r="W288" s="16"/>
    </row>
    <row r="289" spans="1:23">
      <c r="A289" s="5" t="s">
        <v>348</v>
      </c>
      <c r="B289" s="6">
        <v>45735</v>
      </c>
      <c r="C289" s="7" t="s">
        <v>56</v>
      </c>
      <c r="D289" s="7" t="s">
        <v>100</v>
      </c>
      <c r="E289" s="8">
        <v>1647</v>
      </c>
      <c r="F289" s="9">
        <v>4282.38</v>
      </c>
      <c r="G289" s="6">
        <v>45738</v>
      </c>
      <c r="H289" s="6">
        <v>45751</v>
      </c>
      <c r="I289" s="7" t="s">
        <v>49</v>
      </c>
      <c r="J289" s="7" t="s">
        <v>44</v>
      </c>
      <c r="K289" s="7" t="s">
        <v>21</v>
      </c>
      <c r="M289" s="13">
        <f t="shared" si="20"/>
        <v>13</v>
      </c>
      <c r="N289" s="14"/>
      <c r="O289" s="15">
        <f t="shared" si="21"/>
        <v>2.60010928961749</v>
      </c>
      <c r="P289" s="16"/>
      <c r="Q289" s="14">
        <f t="shared" si="22"/>
        <v>3</v>
      </c>
      <c r="R289" s="14"/>
      <c r="S289" s="14"/>
      <c r="T289" s="13" t="str">
        <f t="shared" si="23"/>
        <v>Delayed</v>
      </c>
      <c r="U289" s="14"/>
      <c r="V289" s="13" t="str">
        <f t="shared" si="24"/>
        <v>Low Quantity</v>
      </c>
      <c r="W289" s="16"/>
    </row>
    <row r="290" spans="1:23">
      <c r="A290" s="5" t="s">
        <v>349</v>
      </c>
      <c r="B290" s="6">
        <v>46018</v>
      </c>
      <c r="C290" s="7" t="s">
        <v>79</v>
      </c>
      <c r="D290" s="7" t="s">
        <v>51</v>
      </c>
      <c r="E290" s="8">
        <v>2526</v>
      </c>
      <c r="F290" s="9">
        <v>7798.73</v>
      </c>
      <c r="G290" s="6">
        <v>46021</v>
      </c>
      <c r="H290" s="6">
        <v>46028</v>
      </c>
      <c r="I290" s="7" t="s">
        <v>19</v>
      </c>
      <c r="J290" s="7" t="s">
        <v>26</v>
      </c>
      <c r="K290" s="7" t="s">
        <v>27</v>
      </c>
      <c r="M290" s="13">
        <f t="shared" si="20"/>
        <v>7</v>
      </c>
      <c r="N290" s="14"/>
      <c r="O290" s="15">
        <f t="shared" si="21"/>
        <v>3.08738321456849</v>
      </c>
      <c r="P290" s="16"/>
      <c r="Q290" s="14">
        <f t="shared" si="22"/>
        <v>3</v>
      </c>
      <c r="R290" s="14"/>
      <c r="S290" s="14"/>
      <c r="T290" s="13" t="str">
        <f t="shared" si="23"/>
        <v>On-Time</v>
      </c>
      <c r="U290" s="14"/>
      <c r="V290" s="13" t="str">
        <f t="shared" si="24"/>
        <v>Low Quantity</v>
      </c>
      <c r="W290" s="16"/>
    </row>
    <row r="291" spans="1:23">
      <c r="A291" s="5" t="s">
        <v>350</v>
      </c>
      <c r="B291" s="6">
        <v>45734</v>
      </c>
      <c r="C291" s="7" t="s">
        <v>76</v>
      </c>
      <c r="D291" s="7" t="s">
        <v>46</v>
      </c>
      <c r="E291" s="8">
        <v>3929</v>
      </c>
      <c r="F291" s="9">
        <v>4607.52</v>
      </c>
      <c r="G291" s="6">
        <v>45736</v>
      </c>
      <c r="H291" s="6">
        <v>45739</v>
      </c>
      <c r="I291" s="7" t="s">
        <v>35</v>
      </c>
      <c r="J291" s="7" t="s">
        <v>26</v>
      </c>
      <c r="K291" s="7" t="s">
        <v>27</v>
      </c>
      <c r="M291" s="13">
        <f t="shared" si="20"/>
        <v>3</v>
      </c>
      <c r="N291" s="14"/>
      <c r="O291" s="15">
        <f t="shared" si="21"/>
        <v>1.17269534232629</v>
      </c>
      <c r="P291" s="16"/>
      <c r="Q291" s="14">
        <f t="shared" si="22"/>
        <v>2</v>
      </c>
      <c r="R291" s="14"/>
      <c r="S291" s="14"/>
      <c r="T291" s="13" t="str">
        <f t="shared" si="23"/>
        <v>On-Time</v>
      </c>
      <c r="U291" s="14"/>
      <c r="V291" s="13" t="str">
        <f t="shared" si="24"/>
        <v>High Quantity</v>
      </c>
      <c r="W291" s="16"/>
    </row>
    <row r="292" spans="1:23">
      <c r="A292" s="5" t="s">
        <v>351</v>
      </c>
      <c r="B292" s="6">
        <v>45589</v>
      </c>
      <c r="C292" s="7" t="s">
        <v>33</v>
      </c>
      <c r="D292" s="7" t="s">
        <v>77</v>
      </c>
      <c r="E292" s="8">
        <v>3785</v>
      </c>
      <c r="F292" s="9">
        <v>1296.1</v>
      </c>
      <c r="G292" s="6">
        <v>45591</v>
      </c>
      <c r="H292" s="6">
        <v>45593</v>
      </c>
      <c r="I292" s="7" t="s">
        <v>19</v>
      </c>
      <c r="J292" s="7" t="s">
        <v>26</v>
      </c>
      <c r="K292" s="7" t="s">
        <v>27</v>
      </c>
      <c r="M292" s="13">
        <f t="shared" si="20"/>
        <v>2</v>
      </c>
      <c r="N292" s="14"/>
      <c r="O292" s="15">
        <f t="shared" si="21"/>
        <v>0.342430647291942</v>
      </c>
      <c r="P292" s="16"/>
      <c r="Q292" s="14">
        <f t="shared" si="22"/>
        <v>2</v>
      </c>
      <c r="R292" s="14"/>
      <c r="S292" s="14"/>
      <c r="T292" s="13" t="str">
        <f t="shared" si="23"/>
        <v>On-Time</v>
      </c>
      <c r="U292" s="14"/>
      <c r="V292" s="13" t="str">
        <f t="shared" si="24"/>
        <v>High Quantity</v>
      </c>
      <c r="W292" s="16"/>
    </row>
    <row r="293" spans="1:23">
      <c r="A293" s="5" t="s">
        <v>352</v>
      </c>
      <c r="B293" s="6">
        <v>45624</v>
      </c>
      <c r="C293" s="7" t="s">
        <v>68</v>
      </c>
      <c r="D293" s="7" t="s">
        <v>81</v>
      </c>
      <c r="E293" s="8">
        <v>4287</v>
      </c>
      <c r="F293" s="9">
        <v>2435.46</v>
      </c>
      <c r="G293" s="6">
        <v>45626</v>
      </c>
      <c r="H293" s="6">
        <v>45660</v>
      </c>
      <c r="I293" s="7" t="s">
        <v>19</v>
      </c>
      <c r="J293" s="7" t="s">
        <v>20</v>
      </c>
      <c r="K293" s="7" t="s">
        <v>21</v>
      </c>
      <c r="M293" s="13">
        <f t="shared" si="20"/>
        <v>34</v>
      </c>
      <c r="N293" s="14"/>
      <c r="O293" s="15">
        <f t="shared" si="21"/>
        <v>0.568103568929321</v>
      </c>
      <c r="P293" s="16"/>
      <c r="Q293" s="14">
        <f t="shared" si="22"/>
        <v>2</v>
      </c>
      <c r="R293" s="14"/>
      <c r="S293" s="14"/>
      <c r="T293" s="13" t="str">
        <f t="shared" si="23"/>
        <v>Delayed</v>
      </c>
      <c r="U293" s="14"/>
      <c r="V293" s="13" t="str">
        <f t="shared" si="24"/>
        <v>High Quantity</v>
      </c>
      <c r="W293" s="16"/>
    </row>
    <row r="294" spans="1:23">
      <c r="A294" s="5" t="s">
        <v>353</v>
      </c>
      <c r="B294" s="6">
        <v>45709</v>
      </c>
      <c r="C294" s="7" t="s">
        <v>68</v>
      </c>
      <c r="D294" s="7" t="s">
        <v>51</v>
      </c>
      <c r="E294" s="8">
        <v>4381</v>
      </c>
      <c r="F294" s="9">
        <v>14560.11</v>
      </c>
      <c r="G294" s="6">
        <v>45711</v>
      </c>
      <c r="H294" s="6">
        <v>45719</v>
      </c>
      <c r="I294" s="7" t="s">
        <v>30</v>
      </c>
      <c r="J294" s="7" t="s">
        <v>26</v>
      </c>
      <c r="K294" s="7" t="s">
        <v>27</v>
      </c>
      <c r="M294" s="13">
        <f t="shared" si="20"/>
        <v>8</v>
      </c>
      <c r="N294" s="14"/>
      <c r="O294" s="15">
        <f t="shared" si="21"/>
        <v>3.32346724492125</v>
      </c>
      <c r="P294" s="16"/>
      <c r="Q294" s="14">
        <f t="shared" si="22"/>
        <v>2</v>
      </c>
      <c r="R294" s="14"/>
      <c r="S294" s="14"/>
      <c r="T294" s="13" t="str">
        <f t="shared" si="23"/>
        <v>On-Time</v>
      </c>
      <c r="U294" s="14"/>
      <c r="V294" s="13" t="str">
        <f t="shared" si="24"/>
        <v>High Quantity</v>
      </c>
      <c r="W294" s="16"/>
    </row>
    <row r="295" spans="1:23">
      <c r="A295" s="5" t="s">
        <v>354</v>
      </c>
      <c r="B295" s="6">
        <v>45992</v>
      </c>
      <c r="C295" s="7" t="s">
        <v>65</v>
      </c>
      <c r="D295" s="7" t="s">
        <v>18</v>
      </c>
      <c r="E295" s="8">
        <v>1782</v>
      </c>
      <c r="F295" s="9">
        <v>2916.02</v>
      </c>
      <c r="G295" s="6">
        <v>45995</v>
      </c>
      <c r="H295" s="6">
        <v>46038</v>
      </c>
      <c r="I295" s="7" t="s">
        <v>35</v>
      </c>
      <c r="J295" s="7" t="s">
        <v>20</v>
      </c>
      <c r="K295" s="7" t="s">
        <v>21</v>
      </c>
      <c r="M295" s="13">
        <f t="shared" si="20"/>
        <v>43</v>
      </c>
      <c r="N295" s="14"/>
      <c r="O295" s="15">
        <f t="shared" si="21"/>
        <v>1.63637485970819</v>
      </c>
      <c r="P295" s="16"/>
      <c r="Q295" s="14">
        <f t="shared" si="22"/>
        <v>3</v>
      </c>
      <c r="R295" s="14"/>
      <c r="S295" s="14"/>
      <c r="T295" s="13" t="str">
        <f t="shared" si="23"/>
        <v>Delayed</v>
      </c>
      <c r="U295" s="14"/>
      <c r="V295" s="13" t="str">
        <f t="shared" si="24"/>
        <v>Low Quantity</v>
      </c>
      <c r="W295" s="16"/>
    </row>
    <row r="296" spans="1:23">
      <c r="A296" s="5" t="s">
        <v>355</v>
      </c>
      <c r="B296" s="6">
        <v>45358</v>
      </c>
      <c r="C296" s="7" t="s">
        <v>24</v>
      </c>
      <c r="D296" s="7" t="s">
        <v>41</v>
      </c>
      <c r="E296" s="5">
        <v>224</v>
      </c>
      <c r="F296" s="9">
        <v>22257.51</v>
      </c>
      <c r="G296" s="6">
        <v>45361</v>
      </c>
      <c r="H296" s="6">
        <v>45366</v>
      </c>
      <c r="I296" s="7" t="s">
        <v>30</v>
      </c>
      <c r="J296" s="7" t="s">
        <v>26</v>
      </c>
      <c r="K296" s="7" t="s">
        <v>27</v>
      </c>
      <c r="M296" s="13">
        <f t="shared" si="20"/>
        <v>5</v>
      </c>
      <c r="N296" s="14"/>
      <c r="O296" s="15">
        <f t="shared" si="21"/>
        <v>99.3638839285714</v>
      </c>
      <c r="P296" s="16"/>
      <c r="Q296" s="14">
        <f t="shared" si="22"/>
        <v>3</v>
      </c>
      <c r="R296" s="14"/>
      <c r="S296" s="14"/>
      <c r="T296" s="13" t="str">
        <f t="shared" si="23"/>
        <v>On-Time</v>
      </c>
      <c r="U296" s="14"/>
      <c r="V296" s="13" t="str">
        <f t="shared" si="24"/>
        <v>Low Quantity</v>
      </c>
      <c r="W296" s="16"/>
    </row>
    <row r="297" spans="1:23">
      <c r="A297" s="5" t="s">
        <v>356</v>
      </c>
      <c r="B297" s="6">
        <v>45810</v>
      </c>
      <c r="C297" s="7" t="s">
        <v>65</v>
      </c>
      <c r="D297" s="7" t="s">
        <v>39</v>
      </c>
      <c r="E297" s="5">
        <v>811</v>
      </c>
      <c r="F297" s="9">
        <v>13280.3</v>
      </c>
      <c r="G297" s="6">
        <v>45813</v>
      </c>
      <c r="H297" s="6">
        <v>45817</v>
      </c>
      <c r="I297" s="7" t="s">
        <v>30</v>
      </c>
      <c r="J297" s="7" t="s">
        <v>26</v>
      </c>
      <c r="K297" s="7" t="s">
        <v>27</v>
      </c>
      <c r="M297" s="13">
        <f t="shared" si="20"/>
        <v>4</v>
      </c>
      <c r="N297" s="14"/>
      <c r="O297" s="15">
        <f t="shared" si="21"/>
        <v>16.375215782984</v>
      </c>
      <c r="P297" s="16"/>
      <c r="Q297" s="14">
        <f t="shared" si="22"/>
        <v>3</v>
      </c>
      <c r="R297" s="14"/>
      <c r="S297" s="14"/>
      <c r="T297" s="13" t="str">
        <f t="shared" si="23"/>
        <v>On-Time</v>
      </c>
      <c r="U297" s="14"/>
      <c r="V297" s="13" t="str">
        <f t="shared" si="24"/>
        <v>Low Quantity</v>
      </c>
      <c r="W297" s="16"/>
    </row>
    <row r="298" spans="1:23">
      <c r="A298" s="5" t="s">
        <v>357</v>
      </c>
      <c r="B298" s="6">
        <v>45374</v>
      </c>
      <c r="C298" s="7" t="s">
        <v>92</v>
      </c>
      <c r="D298" s="7" t="s">
        <v>100</v>
      </c>
      <c r="E298" s="8">
        <v>3128</v>
      </c>
      <c r="F298" s="9">
        <v>4326.36</v>
      </c>
      <c r="G298" s="6">
        <v>45375</v>
      </c>
      <c r="H298" s="6">
        <v>45379</v>
      </c>
      <c r="I298" s="7" t="s">
        <v>19</v>
      </c>
      <c r="J298" s="7" t="s">
        <v>59</v>
      </c>
      <c r="K298" s="7" t="s">
        <v>27</v>
      </c>
      <c r="M298" s="13">
        <f t="shared" si="20"/>
        <v>4</v>
      </c>
      <c r="N298" s="14"/>
      <c r="O298" s="15">
        <f t="shared" si="21"/>
        <v>1.3831074168798</v>
      </c>
      <c r="P298" s="16"/>
      <c r="Q298" s="14">
        <f t="shared" si="22"/>
        <v>1</v>
      </c>
      <c r="R298" s="14"/>
      <c r="S298" s="14"/>
      <c r="T298" s="13" t="str">
        <f t="shared" si="23"/>
        <v>On-Time</v>
      </c>
      <c r="U298" s="14"/>
      <c r="V298" s="13" t="str">
        <f t="shared" si="24"/>
        <v>High Quantity</v>
      </c>
      <c r="W298" s="16"/>
    </row>
    <row r="299" spans="1:23">
      <c r="A299" s="5" t="s">
        <v>358</v>
      </c>
      <c r="B299" s="6">
        <v>45648</v>
      </c>
      <c r="C299" s="7" t="s">
        <v>65</v>
      </c>
      <c r="D299" s="7" t="s">
        <v>39</v>
      </c>
      <c r="E299" s="8">
        <v>2470</v>
      </c>
      <c r="F299" s="9">
        <v>11414.16</v>
      </c>
      <c r="G299" s="6">
        <v>45650</v>
      </c>
      <c r="H299" s="6">
        <v>45654</v>
      </c>
      <c r="I299" s="7" t="s">
        <v>35</v>
      </c>
      <c r="J299" s="7" t="s">
        <v>59</v>
      </c>
      <c r="K299" s="7" t="s">
        <v>27</v>
      </c>
      <c r="M299" s="13">
        <f t="shared" si="20"/>
        <v>4</v>
      </c>
      <c r="N299" s="14"/>
      <c r="O299" s="15">
        <f t="shared" si="21"/>
        <v>4.62111740890688</v>
      </c>
      <c r="P299" s="16"/>
      <c r="Q299" s="14">
        <f t="shared" si="22"/>
        <v>2</v>
      </c>
      <c r="R299" s="14"/>
      <c r="S299" s="14"/>
      <c r="T299" s="13" t="str">
        <f t="shared" si="23"/>
        <v>On-Time</v>
      </c>
      <c r="U299" s="14"/>
      <c r="V299" s="13" t="str">
        <f t="shared" si="24"/>
        <v>Low Quantity</v>
      </c>
      <c r="W299" s="16"/>
    </row>
    <row r="300" spans="1:23">
      <c r="A300" s="5" t="s">
        <v>359</v>
      </c>
      <c r="B300" s="6">
        <v>45682</v>
      </c>
      <c r="C300" s="7" t="s">
        <v>65</v>
      </c>
      <c r="D300" s="7" t="s">
        <v>100</v>
      </c>
      <c r="E300" s="8">
        <v>2645</v>
      </c>
      <c r="F300" s="9">
        <v>937.97</v>
      </c>
      <c r="G300" s="6">
        <v>45685</v>
      </c>
      <c r="H300" s="6">
        <v>45690</v>
      </c>
      <c r="I300" s="7" t="s">
        <v>19</v>
      </c>
      <c r="J300" s="7" t="s">
        <v>26</v>
      </c>
      <c r="K300" s="7" t="s">
        <v>27</v>
      </c>
      <c r="M300" s="13">
        <f t="shared" si="20"/>
        <v>5</v>
      </c>
      <c r="N300" s="14"/>
      <c r="O300" s="15">
        <f t="shared" si="21"/>
        <v>0.354620037807183</v>
      </c>
      <c r="P300" s="16"/>
      <c r="Q300" s="14">
        <f t="shared" si="22"/>
        <v>3</v>
      </c>
      <c r="R300" s="14"/>
      <c r="S300" s="14"/>
      <c r="T300" s="13" t="str">
        <f t="shared" si="23"/>
        <v>On-Time</v>
      </c>
      <c r="U300" s="14"/>
      <c r="V300" s="13" t="str">
        <f t="shared" si="24"/>
        <v>Low Quantity</v>
      </c>
      <c r="W300" s="16"/>
    </row>
    <row r="301" spans="1:23">
      <c r="A301" s="5" t="s">
        <v>360</v>
      </c>
      <c r="B301" s="6">
        <v>45505</v>
      </c>
      <c r="C301" s="7" t="s">
        <v>79</v>
      </c>
      <c r="D301" s="7" t="s">
        <v>51</v>
      </c>
      <c r="E301" s="5">
        <v>865</v>
      </c>
      <c r="F301" s="9">
        <v>3141.27</v>
      </c>
      <c r="G301" s="6">
        <v>45508</v>
      </c>
      <c r="H301" s="6">
        <v>45511</v>
      </c>
      <c r="I301" s="7" t="s">
        <v>19</v>
      </c>
      <c r="J301" s="7" t="s">
        <v>26</v>
      </c>
      <c r="K301" s="7" t="s">
        <v>27</v>
      </c>
      <c r="M301" s="13">
        <f t="shared" si="20"/>
        <v>3</v>
      </c>
      <c r="N301" s="14"/>
      <c r="O301" s="15">
        <f t="shared" si="21"/>
        <v>3.63152601156069</v>
      </c>
      <c r="P301" s="16"/>
      <c r="Q301" s="14">
        <f t="shared" si="22"/>
        <v>3</v>
      </c>
      <c r="R301" s="14"/>
      <c r="S301" s="14"/>
      <c r="T301" s="13" t="str">
        <f t="shared" si="23"/>
        <v>On-Time</v>
      </c>
      <c r="U301" s="14"/>
      <c r="V301" s="13" t="str">
        <f t="shared" si="24"/>
        <v>Low Quantity</v>
      </c>
      <c r="W301" s="16"/>
    </row>
    <row r="302" spans="1:23">
      <c r="A302" s="5" t="s">
        <v>361</v>
      </c>
      <c r="B302" s="6">
        <v>45366</v>
      </c>
      <c r="C302" s="7" t="s">
        <v>17</v>
      </c>
      <c r="D302" s="7" t="s">
        <v>77</v>
      </c>
      <c r="E302" s="5">
        <v>370</v>
      </c>
      <c r="F302" s="9">
        <v>2884.32</v>
      </c>
      <c r="G302" s="6">
        <v>45369</v>
      </c>
      <c r="H302" s="6">
        <v>45372</v>
      </c>
      <c r="I302" s="7" t="s">
        <v>19</v>
      </c>
      <c r="J302" s="7" t="s">
        <v>59</v>
      </c>
      <c r="K302" s="7" t="s">
        <v>27</v>
      </c>
      <c r="M302" s="13">
        <f t="shared" si="20"/>
        <v>3</v>
      </c>
      <c r="N302" s="14"/>
      <c r="O302" s="15">
        <f t="shared" si="21"/>
        <v>7.79545945945946</v>
      </c>
      <c r="P302" s="16"/>
      <c r="Q302" s="14">
        <f t="shared" si="22"/>
        <v>3</v>
      </c>
      <c r="R302" s="14"/>
      <c r="S302" s="14"/>
      <c r="T302" s="13" t="str">
        <f t="shared" si="23"/>
        <v>On-Time</v>
      </c>
      <c r="U302" s="14"/>
      <c r="V302" s="13" t="str">
        <f t="shared" si="24"/>
        <v>Low Quantity</v>
      </c>
      <c r="W302" s="16"/>
    </row>
    <row r="303" spans="1:23">
      <c r="A303" s="5" t="s">
        <v>362</v>
      </c>
      <c r="B303" s="6">
        <v>45434</v>
      </c>
      <c r="C303" s="7" t="s">
        <v>94</v>
      </c>
      <c r="D303" s="7" t="s">
        <v>39</v>
      </c>
      <c r="E303" s="8">
        <v>3865</v>
      </c>
      <c r="F303" s="9">
        <v>11060.61</v>
      </c>
      <c r="G303" s="6">
        <v>45437</v>
      </c>
      <c r="H303" s="6">
        <v>45451</v>
      </c>
      <c r="I303" s="7" t="s">
        <v>49</v>
      </c>
      <c r="J303" s="7" t="s">
        <v>44</v>
      </c>
      <c r="K303" s="7" t="s">
        <v>21</v>
      </c>
      <c r="M303" s="13">
        <f t="shared" si="20"/>
        <v>14</v>
      </c>
      <c r="N303" s="14"/>
      <c r="O303" s="15">
        <f t="shared" si="21"/>
        <v>2.8617360931436</v>
      </c>
      <c r="P303" s="16"/>
      <c r="Q303" s="14">
        <f t="shared" si="22"/>
        <v>3</v>
      </c>
      <c r="R303" s="14"/>
      <c r="S303" s="14"/>
      <c r="T303" s="13" t="str">
        <f t="shared" si="23"/>
        <v>Delayed</v>
      </c>
      <c r="U303" s="14"/>
      <c r="V303" s="13" t="str">
        <f t="shared" si="24"/>
        <v>High Quantity</v>
      </c>
      <c r="W303" s="16"/>
    </row>
    <row r="304" spans="1:23">
      <c r="A304" s="5" t="s">
        <v>363</v>
      </c>
      <c r="B304" s="6">
        <v>45396</v>
      </c>
      <c r="C304" s="7" t="s">
        <v>65</v>
      </c>
      <c r="D304" s="7" t="s">
        <v>100</v>
      </c>
      <c r="E304" s="5">
        <v>472</v>
      </c>
      <c r="F304" s="9">
        <v>3438.68</v>
      </c>
      <c r="G304" s="6">
        <v>45398</v>
      </c>
      <c r="H304" s="6">
        <v>45400</v>
      </c>
      <c r="I304" s="7" t="s">
        <v>30</v>
      </c>
      <c r="J304" s="7" t="s">
        <v>26</v>
      </c>
      <c r="K304" s="7" t="s">
        <v>27</v>
      </c>
      <c r="M304" s="13">
        <f t="shared" si="20"/>
        <v>2</v>
      </c>
      <c r="N304" s="14"/>
      <c r="O304" s="15">
        <f t="shared" si="21"/>
        <v>7.28533898305085</v>
      </c>
      <c r="P304" s="16"/>
      <c r="Q304" s="14">
        <f t="shared" si="22"/>
        <v>2</v>
      </c>
      <c r="R304" s="14"/>
      <c r="S304" s="14"/>
      <c r="T304" s="13" t="str">
        <f t="shared" si="23"/>
        <v>On-Time</v>
      </c>
      <c r="U304" s="14"/>
      <c r="V304" s="13" t="str">
        <f t="shared" si="24"/>
        <v>Low Quantity</v>
      </c>
      <c r="W304" s="16"/>
    </row>
    <row r="305" spans="1:23">
      <c r="A305" s="5" t="s">
        <v>364</v>
      </c>
      <c r="B305" s="6">
        <v>45826</v>
      </c>
      <c r="C305" s="7" t="s">
        <v>17</v>
      </c>
      <c r="D305" s="7" t="s">
        <v>18</v>
      </c>
      <c r="E305" s="8">
        <v>4963</v>
      </c>
      <c r="F305" s="9">
        <v>9383.83</v>
      </c>
      <c r="G305" s="6">
        <v>45829</v>
      </c>
      <c r="H305" s="6">
        <v>45837</v>
      </c>
      <c r="I305" s="7" t="s">
        <v>30</v>
      </c>
      <c r="J305" s="7" t="s">
        <v>44</v>
      </c>
      <c r="K305" s="7" t="s">
        <v>27</v>
      </c>
      <c r="M305" s="13">
        <f t="shared" si="20"/>
        <v>8</v>
      </c>
      <c r="N305" s="14"/>
      <c r="O305" s="15">
        <f t="shared" si="21"/>
        <v>1.89075760628652</v>
      </c>
      <c r="P305" s="16"/>
      <c r="Q305" s="14">
        <f t="shared" si="22"/>
        <v>3</v>
      </c>
      <c r="R305" s="14"/>
      <c r="S305" s="14"/>
      <c r="T305" s="13" t="str">
        <f t="shared" si="23"/>
        <v>On-Time</v>
      </c>
      <c r="U305" s="14"/>
      <c r="V305" s="13" t="str">
        <f t="shared" si="24"/>
        <v>High Quantity</v>
      </c>
      <c r="W305" s="16"/>
    </row>
    <row r="306" spans="1:23">
      <c r="A306" s="5" t="s">
        <v>365</v>
      </c>
      <c r="B306" s="6">
        <v>45957</v>
      </c>
      <c r="C306" s="7" t="s">
        <v>76</v>
      </c>
      <c r="D306" s="7" t="s">
        <v>46</v>
      </c>
      <c r="E306" s="8">
        <v>2676</v>
      </c>
      <c r="F306" s="9">
        <v>4660.18</v>
      </c>
      <c r="G306" s="6">
        <v>45960</v>
      </c>
      <c r="H306" s="6">
        <v>45970</v>
      </c>
      <c r="I306" s="7" t="s">
        <v>49</v>
      </c>
      <c r="J306" s="7" t="s">
        <v>26</v>
      </c>
      <c r="K306" s="7" t="s">
        <v>21</v>
      </c>
      <c r="M306" s="13">
        <f t="shared" si="20"/>
        <v>10</v>
      </c>
      <c r="N306" s="14"/>
      <c r="O306" s="15">
        <f t="shared" si="21"/>
        <v>1.74147234678625</v>
      </c>
      <c r="P306" s="16"/>
      <c r="Q306" s="14">
        <f t="shared" si="22"/>
        <v>3</v>
      </c>
      <c r="R306" s="14"/>
      <c r="S306" s="14"/>
      <c r="T306" s="13" t="str">
        <f t="shared" si="23"/>
        <v>Delayed</v>
      </c>
      <c r="U306" s="14"/>
      <c r="V306" s="13" t="str">
        <f t="shared" si="24"/>
        <v>Low Quantity</v>
      </c>
      <c r="W306" s="16"/>
    </row>
    <row r="307" spans="1:23">
      <c r="A307" s="5" t="s">
        <v>366</v>
      </c>
      <c r="B307" s="6">
        <v>45341</v>
      </c>
      <c r="C307" s="7" t="s">
        <v>56</v>
      </c>
      <c r="D307" s="7" t="s">
        <v>41</v>
      </c>
      <c r="E307" s="8">
        <v>3683</v>
      </c>
      <c r="F307" s="9">
        <v>21919.61</v>
      </c>
      <c r="G307" s="6">
        <v>45344</v>
      </c>
      <c r="H307" s="6">
        <v>45383</v>
      </c>
      <c r="I307" s="7" t="s">
        <v>35</v>
      </c>
      <c r="J307" s="7" t="s">
        <v>20</v>
      </c>
      <c r="K307" s="7" t="s">
        <v>21</v>
      </c>
      <c r="M307" s="13">
        <f t="shared" si="20"/>
        <v>39</v>
      </c>
      <c r="N307" s="14"/>
      <c r="O307" s="15">
        <f t="shared" si="21"/>
        <v>5.95156394243823</v>
      </c>
      <c r="P307" s="16"/>
      <c r="Q307" s="14">
        <f t="shared" si="22"/>
        <v>3</v>
      </c>
      <c r="R307" s="14"/>
      <c r="S307" s="14"/>
      <c r="T307" s="13" t="str">
        <f t="shared" si="23"/>
        <v>Delayed</v>
      </c>
      <c r="U307" s="14"/>
      <c r="V307" s="13" t="str">
        <f t="shared" si="24"/>
        <v>High Quantity</v>
      </c>
      <c r="W307" s="16"/>
    </row>
    <row r="308" spans="1:23">
      <c r="A308" s="5" t="s">
        <v>367</v>
      </c>
      <c r="B308" s="6">
        <v>45863</v>
      </c>
      <c r="C308" s="7" t="s">
        <v>79</v>
      </c>
      <c r="D308" s="7" t="s">
        <v>51</v>
      </c>
      <c r="E308" s="8">
        <v>4302</v>
      </c>
      <c r="F308" s="9">
        <v>2835.56</v>
      </c>
      <c r="G308" s="6">
        <v>45865</v>
      </c>
      <c r="H308" s="6">
        <v>45868</v>
      </c>
      <c r="I308" s="7" t="s">
        <v>19</v>
      </c>
      <c r="J308" s="7" t="s">
        <v>26</v>
      </c>
      <c r="K308" s="7" t="s">
        <v>27</v>
      </c>
      <c r="M308" s="13">
        <f t="shared" si="20"/>
        <v>3</v>
      </c>
      <c r="N308" s="14"/>
      <c r="O308" s="15">
        <f t="shared" si="21"/>
        <v>0.659125987912599</v>
      </c>
      <c r="P308" s="16"/>
      <c r="Q308" s="14">
        <f t="shared" si="22"/>
        <v>2</v>
      </c>
      <c r="R308" s="14"/>
      <c r="S308" s="14"/>
      <c r="T308" s="13" t="str">
        <f t="shared" si="23"/>
        <v>On-Time</v>
      </c>
      <c r="U308" s="14"/>
      <c r="V308" s="13" t="str">
        <f t="shared" si="24"/>
        <v>High Quantity</v>
      </c>
      <c r="W308" s="16"/>
    </row>
    <row r="309" spans="1:23">
      <c r="A309" s="5" t="s">
        <v>368</v>
      </c>
      <c r="B309" s="6">
        <v>45809</v>
      </c>
      <c r="C309" s="7" t="s">
        <v>38</v>
      </c>
      <c r="D309" s="7" t="s">
        <v>77</v>
      </c>
      <c r="E309" s="8">
        <v>2500</v>
      </c>
      <c r="F309" s="9">
        <v>3629.58</v>
      </c>
      <c r="G309" s="6">
        <v>45812</v>
      </c>
      <c r="H309" s="6">
        <v>45822</v>
      </c>
      <c r="I309" s="7" t="s">
        <v>19</v>
      </c>
      <c r="J309" s="7" t="s">
        <v>26</v>
      </c>
      <c r="K309" s="7" t="s">
        <v>21</v>
      </c>
      <c r="M309" s="13">
        <f t="shared" si="20"/>
        <v>10</v>
      </c>
      <c r="N309" s="14"/>
      <c r="O309" s="15">
        <f t="shared" si="21"/>
        <v>1.451832</v>
      </c>
      <c r="P309" s="16"/>
      <c r="Q309" s="14">
        <f t="shared" si="22"/>
        <v>3</v>
      </c>
      <c r="R309" s="14"/>
      <c r="S309" s="14"/>
      <c r="T309" s="13" t="str">
        <f t="shared" si="23"/>
        <v>Delayed</v>
      </c>
      <c r="U309" s="14"/>
      <c r="V309" s="13" t="str">
        <f t="shared" si="24"/>
        <v>Low Quantity</v>
      </c>
      <c r="W309" s="16"/>
    </row>
    <row r="310" spans="1:23">
      <c r="A310" s="5" t="s">
        <v>369</v>
      </c>
      <c r="B310" s="6">
        <v>45548</v>
      </c>
      <c r="C310" s="7" t="s">
        <v>17</v>
      </c>
      <c r="D310" s="7" t="s">
        <v>34</v>
      </c>
      <c r="E310" s="8">
        <v>4862</v>
      </c>
      <c r="F310" s="9">
        <v>40373.94</v>
      </c>
      <c r="G310" s="6">
        <v>45550</v>
      </c>
      <c r="H310" s="6">
        <v>45552</v>
      </c>
      <c r="I310" s="7" t="s">
        <v>30</v>
      </c>
      <c r="J310" s="7" t="s">
        <v>59</v>
      </c>
      <c r="K310" s="7" t="s">
        <v>27</v>
      </c>
      <c r="M310" s="13">
        <f t="shared" si="20"/>
        <v>2</v>
      </c>
      <c r="N310" s="14"/>
      <c r="O310" s="15">
        <f t="shared" si="21"/>
        <v>8.30397778691896</v>
      </c>
      <c r="P310" s="16"/>
      <c r="Q310" s="14">
        <f t="shared" si="22"/>
        <v>2</v>
      </c>
      <c r="R310" s="14"/>
      <c r="S310" s="14"/>
      <c r="T310" s="13" t="str">
        <f t="shared" si="23"/>
        <v>On-Time</v>
      </c>
      <c r="U310" s="14"/>
      <c r="V310" s="13" t="str">
        <f t="shared" si="24"/>
        <v>High Quantity</v>
      </c>
      <c r="W310" s="16"/>
    </row>
    <row r="311" spans="1:23">
      <c r="A311" s="5" t="s">
        <v>370</v>
      </c>
      <c r="B311" s="6">
        <v>45522</v>
      </c>
      <c r="C311" s="7" t="s">
        <v>79</v>
      </c>
      <c r="D311" s="7" t="s">
        <v>41</v>
      </c>
      <c r="E311" s="5">
        <v>475</v>
      </c>
      <c r="F311" s="9">
        <v>17087.99</v>
      </c>
      <c r="G311" s="6">
        <v>45525</v>
      </c>
      <c r="H311" s="6">
        <v>45527</v>
      </c>
      <c r="I311" s="7" t="s">
        <v>49</v>
      </c>
      <c r="J311" s="7" t="s">
        <v>26</v>
      </c>
      <c r="K311" s="7" t="s">
        <v>27</v>
      </c>
      <c r="M311" s="13">
        <f t="shared" si="20"/>
        <v>2</v>
      </c>
      <c r="N311" s="14"/>
      <c r="O311" s="15">
        <f t="shared" si="21"/>
        <v>35.9747157894737</v>
      </c>
      <c r="P311" s="16"/>
      <c r="Q311" s="14">
        <f t="shared" si="22"/>
        <v>3</v>
      </c>
      <c r="R311" s="14"/>
      <c r="S311" s="14"/>
      <c r="T311" s="13" t="str">
        <f t="shared" si="23"/>
        <v>On-Time</v>
      </c>
      <c r="U311" s="14"/>
      <c r="V311" s="13" t="str">
        <f t="shared" si="24"/>
        <v>Low Quantity</v>
      </c>
      <c r="W311" s="16"/>
    </row>
    <row r="312" spans="1:23">
      <c r="A312" s="5" t="s">
        <v>371</v>
      </c>
      <c r="B312" s="6">
        <v>45933</v>
      </c>
      <c r="C312" s="7" t="s">
        <v>54</v>
      </c>
      <c r="D312" s="7" t="s">
        <v>81</v>
      </c>
      <c r="E312" s="8">
        <v>1818</v>
      </c>
      <c r="F312" s="9">
        <v>1997.63</v>
      </c>
      <c r="G312" s="6">
        <v>45934</v>
      </c>
      <c r="H312" s="6">
        <v>45944</v>
      </c>
      <c r="I312" s="7" t="s">
        <v>19</v>
      </c>
      <c r="J312" s="7" t="s">
        <v>26</v>
      </c>
      <c r="K312" s="7" t="s">
        <v>21</v>
      </c>
      <c r="M312" s="13">
        <f t="shared" si="20"/>
        <v>10</v>
      </c>
      <c r="N312" s="14"/>
      <c r="O312" s="15">
        <f t="shared" si="21"/>
        <v>1.09880638063806</v>
      </c>
      <c r="P312" s="16"/>
      <c r="Q312" s="14">
        <f t="shared" si="22"/>
        <v>1</v>
      </c>
      <c r="R312" s="14"/>
      <c r="S312" s="14"/>
      <c r="T312" s="13" t="str">
        <f t="shared" si="23"/>
        <v>Delayed</v>
      </c>
      <c r="U312" s="14"/>
      <c r="V312" s="13" t="str">
        <f t="shared" si="24"/>
        <v>Low Quantity</v>
      </c>
      <c r="W312" s="16"/>
    </row>
    <row r="313" spans="1:23">
      <c r="A313" s="5" t="s">
        <v>372</v>
      </c>
      <c r="B313" s="6">
        <v>45308</v>
      </c>
      <c r="C313" s="7" t="s">
        <v>33</v>
      </c>
      <c r="D313" s="7" t="s">
        <v>81</v>
      </c>
      <c r="E313" s="8">
        <v>3496</v>
      </c>
      <c r="F313" s="9">
        <v>1454.32</v>
      </c>
      <c r="G313" s="6">
        <v>45310</v>
      </c>
      <c r="H313" s="6">
        <v>45312</v>
      </c>
      <c r="I313" s="7" t="s">
        <v>49</v>
      </c>
      <c r="J313" s="7" t="s">
        <v>59</v>
      </c>
      <c r="K313" s="7" t="s">
        <v>27</v>
      </c>
      <c r="M313" s="13">
        <f t="shared" si="20"/>
        <v>2</v>
      </c>
      <c r="N313" s="14"/>
      <c r="O313" s="15">
        <f t="shared" si="21"/>
        <v>0.415995423340961</v>
      </c>
      <c r="P313" s="16"/>
      <c r="Q313" s="14">
        <f t="shared" si="22"/>
        <v>2</v>
      </c>
      <c r="R313" s="14"/>
      <c r="S313" s="14"/>
      <c r="T313" s="13" t="str">
        <f t="shared" si="23"/>
        <v>On-Time</v>
      </c>
      <c r="U313" s="14"/>
      <c r="V313" s="13" t="str">
        <f t="shared" si="24"/>
        <v>High Quantity</v>
      </c>
      <c r="W313" s="16"/>
    </row>
    <row r="314" spans="1:23">
      <c r="A314" s="5" t="s">
        <v>373</v>
      </c>
      <c r="B314" s="6">
        <v>45357</v>
      </c>
      <c r="C314" s="7" t="s">
        <v>29</v>
      </c>
      <c r="D314" s="7" t="s">
        <v>18</v>
      </c>
      <c r="E314" s="8">
        <v>3315</v>
      </c>
      <c r="F314" s="9">
        <v>1889.76</v>
      </c>
      <c r="G314" s="6">
        <v>45358</v>
      </c>
      <c r="H314" s="6">
        <v>45395</v>
      </c>
      <c r="I314" s="7" t="s">
        <v>30</v>
      </c>
      <c r="J314" s="7" t="s">
        <v>20</v>
      </c>
      <c r="K314" s="7" t="s">
        <v>21</v>
      </c>
      <c r="M314" s="13">
        <f t="shared" si="20"/>
        <v>37</v>
      </c>
      <c r="N314" s="14"/>
      <c r="O314" s="15">
        <f t="shared" si="21"/>
        <v>0.57006334841629</v>
      </c>
      <c r="P314" s="16"/>
      <c r="Q314" s="14">
        <f t="shared" si="22"/>
        <v>1</v>
      </c>
      <c r="R314" s="14"/>
      <c r="S314" s="14"/>
      <c r="T314" s="13" t="str">
        <f t="shared" si="23"/>
        <v>Delayed</v>
      </c>
      <c r="U314" s="14"/>
      <c r="V314" s="13" t="str">
        <f t="shared" si="24"/>
        <v>High Quantity</v>
      </c>
      <c r="W314" s="16"/>
    </row>
    <row r="315" spans="1:23">
      <c r="A315" s="5" t="s">
        <v>374</v>
      </c>
      <c r="B315" s="6">
        <v>45939</v>
      </c>
      <c r="C315" s="7" t="s">
        <v>79</v>
      </c>
      <c r="D315" s="7" t="s">
        <v>46</v>
      </c>
      <c r="E315" s="8">
        <v>1093</v>
      </c>
      <c r="F315" s="9">
        <v>3995.92</v>
      </c>
      <c r="G315" s="6">
        <v>45941</v>
      </c>
      <c r="H315" s="6">
        <v>45943</v>
      </c>
      <c r="I315" s="7" t="s">
        <v>19</v>
      </c>
      <c r="J315" s="7" t="s">
        <v>26</v>
      </c>
      <c r="K315" s="7" t="s">
        <v>27</v>
      </c>
      <c r="M315" s="13">
        <f t="shared" si="20"/>
        <v>2</v>
      </c>
      <c r="N315" s="14"/>
      <c r="O315" s="15">
        <f t="shared" si="21"/>
        <v>3.65591948764867</v>
      </c>
      <c r="P315" s="16"/>
      <c r="Q315" s="14">
        <f t="shared" si="22"/>
        <v>2</v>
      </c>
      <c r="R315" s="14"/>
      <c r="S315" s="14"/>
      <c r="T315" s="13" t="str">
        <f t="shared" si="23"/>
        <v>On-Time</v>
      </c>
      <c r="U315" s="14"/>
      <c r="V315" s="13" t="str">
        <f t="shared" si="24"/>
        <v>Low Quantity</v>
      </c>
      <c r="W315" s="16"/>
    </row>
    <row r="316" spans="1:23">
      <c r="A316" s="5" t="s">
        <v>375</v>
      </c>
      <c r="B316" s="6">
        <v>45374</v>
      </c>
      <c r="C316" s="7" t="s">
        <v>38</v>
      </c>
      <c r="D316" s="7" t="s">
        <v>39</v>
      </c>
      <c r="E316" s="8">
        <v>4916</v>
      </c>
      <c r="F316" s="9">
        <v>17114.71</v>
      </c>
      <c r="G316" s="6">
        <v>45375</v>
      </c>
      <c r="H316" s="6">
        <v>45379</v>
      </c>
      <c r="I316" s="7" t="s">
        <v>49</v>
      </c>
      <c r="J316" s="7" t="s">
        <v>26</v>
      </c>
      <c r="K316" s="7" t="s">
        <v>27</v>
      </c>
      <c r="M316" s="13">
        <f t="shared" si="20"/>
        <v>4</v>
      </c>
      <c r="N316" s="14"/>
      <c r="O316" s="15">
        <f t="shared" si="21"/>
        <v>3.48143002441009</v>
      </c>
      <c r="P316" s="16"/>
      <c r="Q316" s="14">
        <f t="shared" si="22"/>
        <v>1</v>
      </c>
      <c r="R316" s="14"/>
      <c r="S316" s="14"/>
      <c r="T316" s="13" t="str">
        <f t="shared" si="23"/>
        <v>On-Time</v>
      </c>
      <c r="U316" s="14"/>
      <c r="V316" s="13" t="str">
        <f t="shared" si="24"/>
        <v>High Quantity</v>
      </c>
      <c r="W316" s="16"/>
    </row>
    <row r="317" spans="1:23">
      <c r="A317" s="5" t="s">
        <v>376</v>
      </c>
      <c r="B317" s="6">
        <v>45682</v>
      </c>
      <c r="C317" s="7" t="s">
        <v>92</v>
      </c>
      <c r="D317" s="7" t="s">
        <v>39</v>
      </c>
      <c r="E317" s="8">
        <v>4963</v>
      </c>
      <c r="F317" s="9">
        <v>4852.57</v>
      </c>
      <c r="G317" s="6">
        <v>45683</v>
      </c>
      <c r="H317" s="6">
        <v>45685</v>
      </c>
      <c r="I317" s="7" t="s">
        <v>49</v>
      </c>
      <c r="J317" s="7" t="s">
        <v>26</v>
      </c>
      <c r="K317" s="7" t="s">
        <v>27</v>
      </c>
      <c r="M317" s="13">
        <f t="shared" si="20"/>
        <v>2</v>
      </c>
      <c r="N317" s="14"/>
      <c r="O317" s="15">
        <f t="shared" si="21"/>
        <v>0.977749345154141</v>
      </c>
      <c r="P317" s="16"/>
      <c r="Q317" s="14">
        <f t="shared" si="22"/>
        <v>1</v>
      </c>
      <c r="R317" s="14"/>
      <c r="S317" s="14"/>
      <c r="T317" s="13" t="str">
        <f t="shared" si="23"/>
        <v>On-Time</v>
      </c>
      <c r="U317" s="14"/>
      <c r="V317" s="13" t="str">
        <f t="shared" si="24"/>
        <v>High Quantity</v>
      </c>
      <c r="W317" s="16"/>
    </row>
    <row r="318" spans="1:23">
      <c r="A318" s="5" t="s">
        <v>377</v>
      </c>
      <c r="B318" s="6">
        <v>45998</v>
      </c>
      <c r="C318" s="7" t="s">
        <v>38</v>
      </c>
      <c r="D318" s="7" t="s">
        <v>18</v>
      </c>
      <c r="E318" s="8">
        <v>1082</v>
      </c>
      <c r="F318" s="9">
        <v>11457.91</v>
      </c>
      <c r="G318" s="6">
        <v>46001</v>
      </c>
      <c r="H318" s="6">
        <v>46006</v>
      </c>
      <c r="I318" s="7" t="s">
        <v>19</v>
      </c>
      <c r="J318" s="7" t="s">
        <v>59</v>
      </c>
      <c r="K318" s="7" t="s">
        <v>27</v>
      </c>
      <c r="M318" s="13">
        <f t="shared" si="20"/>
        <v>5</v>
      </c>
      <c r="N318" s="14"/>
      <c r="O318" s="15">
        <f t="shared" si="21"/>
        <v>10.5895656192237</v>
      </c>
      <c r="P318" s="16"/>
      <c r="Q318" s="14">
        <f t="shared" si="22"/>
        <v>3</v>
      </c>
      <c r="R318" s="14"/>
      <c r="S318" s="14"/>
      <c r="T318" s="13" t="str">
        <f t="shared" si="23"/>
        <v>On-Time</v>
      </c>
      <c r="U318" s="14"/>
      <c r="V318" s="13" t="str">
        <f t="shared" si="24"/>
        <v>Low Quantity</v>
      </c>
      <c r="W318" s="16"/>
    </row>
    <row r="319" spans="1:23">
      <c r="A319" s="5" t="s">
        <v>378</v>
      </c>
      <c r="B319" s="6">
        <v>46015</v>
      </c>
      <c r="C319" s="7" t="s">
        <v>33</v>
      </c>
      <c r="D319" s="7" t="s">
        <v>39</v>
      </c>
      <c r="E319" s="8">
        <v>3522</v>
      </c>
      <c r="F319" s="9">
        <v>13692.03</v>
      </c>
      <c r="G319" s="6">
        <v>46016</v>
      </c>
      <c r="H319" s="6">
        <v>46019</v>
      </c>
      <c r="I319" s="7" t="s">
        <v>35</v>
      </c>
      <c r="J319" s="7" t="s">
        <v>26</v>
      </c>
      <c r="K319" s="7" t="s">
        <v>27</v>
      </c>
      <c r="M319" s="13">
        <f t="shared" si="20"/>
        <v>3</v>
      </c>
      <c r="N319" s="14"/>
      <c r="O319" s="15">
        <f t="shared" si="21"/>
        <v>3.88757240204429</v>
      </c>
      <c r="P319" s="16"/>
      <c r="Q319" s="14">
        <f t="shared" si="22"/>
        <v>1</v>
      </c>
      <c r="R319" s="14"/>
      <c r="S319" s="14"/>
      <c r="T319" s="13" t="str">
        <f t="shared" si="23"/>
        <v>On-Time</v>
      </c>
      <c r="U319" s="14"/>
      <c r="V319" s="13" t="str">
        <f t="shared" si="24"/>
        <v>High Quantity</v>
      </c>
      <c r="W319" s="16"/>
    </row>
    <row r="320" spans="1:23">
      <c r="A320" s="5" t="s">
        <v>379</v>
      </c>
      <c r="B320" s="6">
        <v>45552</v>
      </c>
      <c r="C320" s="7" t="s">
        <v>17</v>
      </c>
      <c r="D320" s="7" t="s">
        <v>51</v>
      </c>
      <c r="E320" s="5">
        <v>679</v>
      </c>
      <c r="F320" s="9">
        <v>3773.3</v>
      </c>
      <c r="G320" s="6">
        <v>45555</v>
      </c>
      <c r="H320" s="6">
        <v>45597</v>
      </c>
      <c r="I320" s="7" t="s">
        <v>49</v>
      </c>
      <c r="J320" s="7" t="s">
        <v>20</v>
      </c>
      <c r="K320" s="7" t="s">
        <v>21</v>
      </c>
      <c r="M320" s="13">
        <f t="shared" si="20"/>
        <v>42</v>
      </c>
      <c r="N320" s="14"/>
      <c r="O320" s="15">
        <f t="shared" si="21"/>
        <v>5.55714285714286</v>
      </c>
      <c r="P320" s="16"/>
      <c r="Q320" s="14">
        <f t="shared" si="22"/>
        <v>3</v>
      </c>
      <c r="R320" s="14"/>
      <c r="S320" s="14"/>
      <c r="T320" s="13" t="str">
        <f t="shared" si="23"/>
        <v>Delayed</v>
      </c>
      <c r="U320" s="14"/>
      <c r="V320" s="13" t="str">
        <f t="shared" si="24"/>
        <v>Low Quantity</v>
      </c>
      <c r="W320" s="16"/>
    </row>
    <row r="321" spans="1:23">
      <c r="A321" s="5" t="s">
        <v>380</v>
      </c>
      <c r="B321" s="6">
        <v>45979</v>
      </c>
      <c r="C321" s="7" t="s">
        <v>33</v>
      </c>
      <c r="D321" s="7" t="s">
        <v>77</v>
      </c>
      <c r="E321" s="8">
        <v>3632</v>
      </c>
      <c r="F321" s="9">
        <v>13924.43</v>
      </c>
      <c r="G321" s="6">
        <v>45981</v>
      </c>
      <c r="H321" s="6">
        <v>45985</v>
      </c>
      <c r="I321" s="7" t="s">
        <v>49</v>
      </c>
      <c r="J321" s="7" t="s">
        <v>59</v>
      </c>
      <c r="K321" s="7" t="s">
        <v>27</v>
      </c>
      <c r="M321" s="13">
        <f t="shared" si="20"/>
        <v>4</v>
      </c>
      <c r="N321" s="14"/>
      <c r="O321" s="15">
        <f t="shared" si="21"/>
        <v>3.83381883259912</v>
      </c>
      <c r="P321" s="16"/>
      <c r="Q321" s="14">
        <f t="shared" si="22"/>
        <v>2</v>
      </c>
      <c r="R321" s="14"/>
      <c r="S321" s="14"/>
      <c r="T321" s="13" t="str">
        <f t="shared" si="23"/>
        <v>On-Time</v>
      </c>
      <c r="U321" s="14"/>
      <c r="V321" s="13" t="str">
        <f t="shared" si="24"/>
        <v>High Quantity</v>
      </c>
      <c r="W321" s="16"/>
    </row>
    <row r="322" spans="1:23">
      <c r="A322" s="5" t="s">
        <v>381</v>
      </c>
      <c r="B322" s="6">
        <v>45636</v>
      </c>
      <c r="C322" s="7" t="s">
        <v>38</v>
      </c>
      <c r="D322" s="7" t="s">
        <v>34</v>
      </c>
      <c r="E322" s="8">
        <v>2605</v>
      </c>
      <c r="F322" s="9">
        <v>48778.97</v>
      </c>
      <c r="G322" s="6">
        <v>45639</v>
      </c>
      <c r="H322" s="6">
        <v>45666</v>
      </c>
      <c r="I322" s="7" t="s">
        <v>30</v>
      </c>
      <c r="J322" s="7" t="s">
        <v>20</v>
      </c>
      <c r="K322" s="7" t="s">
        <v>27</v>
      </c>
      <c r="M322" s="13">
        <f t="shared" si="20"/>
        <v>27</v>
      </c>
      <c r="N322" s="14"/>
      <c r="O322" s="15">
        <f t="shared" si="21"/>
        <v>18.72513243762</v>
      </c>
      <c r="P322" s="16"/>
      <c r="Q322" s="14">
        <f t="shared" si="22"/>
        <v>3</v>
      </c>
      <c r="R322" s="14"/>
      <c r="S322" s="14"/>
      <c r="T322" s="13" t="str">
        <f t="shared" si="23"/>
        <v>On-Time</v>
      </c>
      <c r="U322" s="14"/>
      <c r="V322" s="13" t="str">
        <f t="shared" si="24"/>
        <v>Low Quantity</v>
      </c>
      <c r="W322" s="16"/>
    </row>
    <row r="323" spans="1:23">
      <c r="A323" s="5" t="s">
        <v>382</v>
      </c>
      <c r="B323" s="6">
        <v>45709</v>
      </c>
      <c r="C323" s="7" t="s">
        <v>54</v>
      </c>
      <c r="D323" s="7" t="s">
        <v>100</v>
      </c>
      <c r="E323" s="5">
        <v>64</v>
      </c>
      <c r="F323" s="9">
        <v>1805.04</v>
      </c>
      <c r="G323" s="6">
        <v>45712</v>
      </c>
      <c r="H323" s="6">
        <v>45726</v>
      </c>
      <c r="I323" s="7" t="s">
        <v>30</v>
      </c>
      <c r="J323" s="7" t="s">
        <v>44</v>
      </c>
      <c r="K323" s="7" t="s">
        <v>21</v>
      </c>
      <c r="M323" s="13">
        <f t="shared" ref="M323:M386" si="25">H323-G323</f>
        <v>14</v>
      </c>
      <c r="N323" s="14"/>
      <c r="O323" s="15">
        <f t="shared" ref="O323:O386" si="26">F323/E323</f>
        <v>28.20375</v>
      </c>
      <c r="P323" s="16"/>
      <c r="Q323" s="14">
        <f t="shared" ref="Q323:Q386" si="27">G323-B323</f>
        <v>3</v>
      </c>
      <c r="R323" s="14"/>
      <c r="S323" s="14"/>
      <c r="T323" s="13" t="str">
        <f t="shared" ref="T323:T386" si="28">IF(K323="Yes","On-Time","Delayed")</f>
        <v>Delayed</v>
      </c>
      <c r="U323" s="14"/>
      <c r="V323" s="13" t="str">
        <f t="shared" ref="V323:V386" si="29">IF(E323&gt;=3000,"High Quantity","Low Quantity")</f>
        <v>Low Quantity</v>
      </c>
      <c r="W323" s="16"/>
    </row>
    <row r="324" spans="1:23">
      <c r="A324" s="5" t="s">
        <v>383</v>
      </c>
      <c r="B324" s="6">
        <v>45834</v>
      </c>
      <c r="C324" s="7" t="s">
        <v>58</v>
      </c>
      <c r="D324" s="7" t="s">
        <v>100</v>
      </c>
      <c r="E324" s="8">
        <v>4329</v>
      </c>
      <c r="F324" s="9">
        <v>3867.18</v>
      </c>
      <c r="G324" s="6">
        <v>45836</v>
      </c>
      <c r="H324" s="6">
        <v>45837</v>
      </c>
      <c r="I324" s="7" t="s">
        <v>19</v>
      </c>
      <c r="J324" s="7" t="s">
        <v>59</v>
      </c>
      <c r="K324" s="7" t="s">
        <v>27</v>
      </c>
      <c r="M324" s="13">
        <f t="shared" si="25"/>
        <v>1</v>
      </c>
      <c r="N324" s="14"/>
      <c r="O324" s="15">
        <f t="shared" si="26"/>
        <v>0.893319473319473</v>
      </c>
      <c r="P324" s="16"/>
      <c r="Q324" s="14">
        <f t="shared" si="27"/>
        <v>2</v>
      </c>
      <c r="R324" s="14"/>
      <c r="S324" s="14"/>
      <c r="T324" s="13" t="str">
        <f t="shared" si="28"/>
        <v>On-Time</v>
      </c>
      <c r="U324" s="14"/>
      <c r="V324" s="13" t="str">
        <f t="shared" si="29"/>
        <v>High Quantity</v>
      </c>
      <c r="W324" s="16"/>
    </row>
    <row r="325" spans="1:23">
      <c r="A325" s="5" t="s">
        <v>384</v>
      </c>
      <c r="B325" s="6">
        <v>45608</v>
      </c>
      <c r="C325" s="7" t="s">
        <v>33</v>
      </c>
      <c r="D325" s="7" t="s">
        <v>39</v>
      </c>
      <c r="E325" s="8">
        <v>3343</v>
      </c>
      <c r="F325" s="9">
        <v>10420.69</v>
      </c>
      <c r="G325" s="6">
        <v>45609</v>
      </c>
      <c r="H325" s="6">
        <v>45610</v>
      </c>
      <c r="I325" s="7" t="s">
        <v>30</v>
      </c>
      <c r="J325" s="7" t="s">
        <v>59</v>
      </c>
      <c r="K325" s="7" t="s">
        <v>27</v>
      </c>
      <c r="M325" s="13">
        <f t="shared" si="25"/>
        <v>1</v>
      </c>
      <c r="N325" s="14"/>
      <c r="O325" s="15">
        <f t="shared" si="26"/>
        <v>3.11716721507628</v>
      </c>
      <c r="P325" s="16"/>
      <c r="Q325" s="14">
        <f t="shared" si="27"/>
        <v>1</v>
      </c>
      <c r="R325" s="14"/>
      <c r="S325" s="14"/>
      <c r="T325" s="13" t="str">
        <f t="shared" si="28"/>
        <v>On-Time</v>
      </c>
      <c r="U325" s="14"/>
      <c r="V325" s="13" t="str">
        <f t="shared" si="29"/>
        <v>High Quantity</v>
      </c>
      <c r="W325" s="16"/>
    </row>
    <row r="326" spans="1:23">
      <c r="A326" s="5" t="s">
        <v>385</v>
      </c>
      <c r="B326" s="6">
        <v>45935</v>
      </c>
      <c r="C326" s="7" t="s">
        <v>58</v>
      </c>
      <c r="D326" s="7" t="s">
        <v>41</v>
      </c>
      <c r="E326" s="8">
        <v>2245</v>
      </c>
      <c r="F326" s="9">
        <v>21261.82</v>
      </c>
      <c r="G326" s="6">
        <v>45938</v>
      </c>
      <c r="H326" s="6">
        <v>45948</v>
      </c>
      <c r="I326" s="7" t="s">
        <v>19</v>
      </c>
      <c r="J326" s="7" t="s">
        <v>26</v>
      </c>
      <c r="K326" s="7" t="s">
        <v>21</v>
      </c>
      <c r="M326" s="13">
        <f t="shared" si="25"/>
        <v>10</v>
      </c>
      <c r="N326" s="14"/>
      <c r="O326" s="15">
        <f t="shared" si="26"/>
        <v>9.4707438752784</v>
      </c>
      <c r="P326" s="16"/>
      <c r="Q326" s="14">
        <f t="shared" si="27"/>
        <v>3</v>
      </c>
      <c r="R326" s="14"/>
      <c r="S326" s="14"/>
      <c r="T326" s="13" t="str">
        <f t="shared" si="28"/>
        <v>Delayed</v>
      </c>
      <c r="U326" s="14"/>
      <c r="V326" s="13" t="str">
        <f t="shared" si="29"/>
        <v>Low Quantity</v>
      </c>
      <c r="W326" s="16"/>
    </row>
    <row r="327" spans="1:23">
      <c r="A327" s="5" t="s">
        <v>386</v>
      </c>
      <c r="B327" s="6">
        <v>45967</v>
      </c>
      <c r="C327" s="7" t="s">
        <v>94</v>
      </c>
      <c r="D327" s="7" t="s">
        <v>51</v>
      </c>
      <c r="E327" s="8">
        <v>2215</v>
      </c>
      <c r="F327" s="9">
        <v>14959.89</v>
      </c>
      <c r="G327" s="6">
        <v>45970</v>
      </c>
      <c r="H327" s="6">
        <v>45980</v>
      </c>
      <c r="I327" s="7" t="s">
        <v>19</v>
      </c>
      <c r="J327" s="7" t="s">
        <v>26</v>
      </c>
      <c r="K327" s="7" t="s">
        <v>21</v>
      </c>
      <c r="M327" s="13">
        <f t="shared" si="25"/>
        <v>10</v>
      </c>
      <c r="N327" s="14"/>
      <c r="O327" s="15">
        <f t="shared" si="26"/>
        <v>6.7539006772009</v>
      </c>
      <c r="P327" s="16"/>
      <c r="Q327" s="14">
        <f t="shared" si="27"/>
        <v>3</v>
      </c>
      <c r="R327" s="14"/>
      <c r="S327" s="14"/>
      <c r="T327" s="13" t="str">
        <f t="shared" si="28"/>
        <v>Delayed</v>
      </c>
      <c r="U327" s="14"/>
      <c r="V327" s="13" t="str">
        <f t="shared" si="29"/>
        <v>Low Quantity</v>
      </c>
      <c r="W327" s="16"/>
    </row>
    <row r="328" spans="1:23">
      <c r="A328" s="5" t="s">
        <v>387</v>
      </c>
      <c r="B328" s="6">
        <v>45304</v>
      </c>
      <c r="C328" s="7" t="s">
        <v>17</v>
      </c>
      <c r="D328" s="7" t="s">
        <v>46</v>
      </c>
      <c r="E328" s="8">
        <v>4315</v>
      </c>
      <c r="F328" s="9">
        <v>2845.48</v>
      </c>
      <c r="G328" s="6">
        <v>45307</v>
      </c>
      <c r="H328" s="6">
        <v>45320</v>
      </c>
      <c r="I328" s="7" t="s">
        <v>30</v>
      </c>
      <c r="J328" s="7" t="s">
        <v>44</v>
      </c>
      <c r="K328" s="7" t="s">
        <v>21</v>
      </c>
      <c r="M328" s="13">
        <f t="shared" si="25"/>
        <v>13</v>
      </c>
      <c r="N328" s="14"/>
      <c r="O328" s="15">
        <f t="shared" si="26"/>
        <v>0.659439165701043</v>
      </c>
      <c r="P328" s="16"/>
      <c r="Q328" s="14">
        <f t="shared" si="27"/>
        <v>3</v>
      </c>
      <c r="R328" s="14"/>
      <c r="S328" s="14"/>
      <c r="T328" s="13" t="str">
        <f t="shared" si="28"/>
        <v>Delayed</v>
      </c>
      <c r="U328" s="14"/>
      <c r="V328" s="13" t="str">
        <f t="shared" si="29"/>
        <v>High Quantity</v>
      </c>
      <c r="W328" s="16"/>
    </row>
    <row r="329" spans="1:23">
      <c r="A329" s="5" t="s">
        <v>388</v>
      </c>
      <c r="B329" s="6">
        <v>45714</v>
      </c>
      <c r="C329" s="7" t="s">
        <v>24</v>
      </c>
      <c r="D329" s="7" t="s">
        <v>51</v>
      </c>
      <c r="E329" s="8">
        <v>1583</v>
      </c>
      <c r="F329" s="9">
        <v>14527.89</v>
      </c>
      <c r="G329" s="6">
        <v>45716</v>
      </c>
      <c r="H329" s="6">
        <v>45726</v>
      </c>
      <c r="I329" s="7" t="s">
        <v>30</v>
      </c>
      <c r="J329" s="7" t="s">
        <v>26</v>
      </c>
      <c r="K329" s="7" t="s">
        <v>21</v>
      </c>
      <c r="M329" s="13">
        <f t="shared" si="25"/>
        <v>10</v>
      </c>
      <c r="N329" s="14"/>
      <c r="O329" s="15">
        <f t="shared" si="26"/>
        <v>9.17744156664561</v>
      </c>
      <c r="P329" s="16"/>
      <c r="Q329" s="14">
        <f t="shared" si="27"/>
        <v>2</v>
      </c>
      <c r="R329" s="14"/>
      <c r="S329" s="14"/>
      <c r="T329" s="13" t="str">
        <f t="shared" si="28"/>
        <v>Delayed</v>
      </c>
      <c r="U329" s="14"/>
      <c r="V329" s="13" t="str">
        <f t="shared" si="29"/>
        <v>Low Quantity</v>
      </c>
      <c r="W329" s="16"/>
    </row>
    <row r="330" spans="1:23">
      <c r="A330" s="5" t="s">
        <v>389</v>
      </c>
      <c r="B330" s="6">
        <v>45908</v>
      </c>
      <c r="C330" s="7" t="s">
        <v>92</v>
      </c>
      <c r="D330" s="7" t="s">
        <v>51</v>
      </c>
      <c r="E330" s="8">
        <v>1916</v>
      </c>
      <c r="F330" s="9">
        <v>978.37</v>
      </c>
      <c r="G330" s="6">
        <v>45910</v>
      </c>
      <c r="H330" s="6">
        <v>45920</v>
      </c>
      <c r="I330" s="7" t="s">
        <v>19</v>
      </c>
      <c r="J330" s="7" t="s">
        <v>26</v>
      </c>
      <c r="K330" s="7" t="s">
        <v>21</v>
      </c>
      <c r="M330" s="13">
        <f t="shared" si="25"/>
        <v>10</v>
      </c>
      <c r="N330" s="14"/>
      <c r="O330" s="15">
        <f t="shared" si="26"/>
        <v>0.510631524008351</v>
      </c>
      <c r="P330" s="16"/>
      <c r="Q330" s="14">
        <f t="shared" si="27"/>
        <v>2</v>
      </c>
      <c r="R330" s="14"/>
      <c r="S330" s="14"/>
      <c r="T330" s="13" t="str">
        <f t="shared" si="28"/>
        <v>Delayed</v>
      </c>
      <c r="U330" s="14"/>
      <c r="V330" s="13" t="str">
        <f t="shared" si="29"/>
        <v>Low Quantity</v>
      </c>
      <c r="W330" s="16"/>
    </row>
    <row r="331" spans="1:23">
      <c r="A331" s="5" t="s">
        <v>390</v>
      </c>
      <c r="B331" s="6">
        <v>45974</v>
      </c>
      <c r="C331" s="7" t="s">
        <v>29</v>
      </c>
      <c r="D331" s="7" t="s">
        <v>34</v>
      </c>
      <c r="E331" s="8">
        <v>4943</v>
      </c>
      <c r="F331" s="9">
        <v>30890.42</v>
      </c>
      <c r="G331" s="6">
        <v>45976</v>
      </c>
      <c r="H331" s="6">
        <v>46006</v>
      </c>
      <c r="I331" s="7" t="s">
        <v>19</v>
      </c>
      <c r="J331" s="7" t="s">
        <v>20</v>
      </c>
      <c r="K331" s="7" t="s">
        <v>27</v>
      </c>
      <c r="M331" s="13">
        <f t="shared" si="25"/>
        <v>30</v>
      </c>
      <c r="N331" s="14"/>
      <c r="O331" s="15">
        <f t="shared" si="26"/>
        <v>6.24932632004855</v>
      </c>
      <c r="P331" s="16"/>
      <c r="Q331" s="14">
        <f t="shared" si="27"/>
        <v>2</v>
      </c>
      <c r="R331" s="14"/>
      <c r="S331" s="14"/>
      <c r="T331" s="13" t="str">
        <f t="shared" si="28"/>
        <v>On-Time</v>
      </c>
      <c r="U331" s="14"/>
      <c r="V331" s="13" t="str">
        <f t="shared" si="29"/>
        <v>High Quantity</v>
      </c>
      <c r="W331" s="16"/>
    </row>
    <row r="332" spans="1:23">
      <c r="A332" s="5" t="s">
        <v>391</v>
      </c>
      <c r="B332" s="6">
        <v>45690</v>
      </c>
      <c r="C332" s="7" t="s">
        <v>76</v>
      </c>
      <c r="D332" s="7" t="s">
        <v>34</v>
      </c>
      <c r="E332" s="5">
        <v>191</v>
      </c>
      <c r="F332" s="9">
        <v>27413.05</v>
      </c>
      <c r="G332" s="6">
        <v>45693</v>
      </c>
      <c r="H332" s="6">
        <v>45698</v>
      </c>
      <c r="I332" s="7" t="s">
        <v>30</v>
      </c>
      <c r="J332" s="7" t="s">
        <v>26</v>
      </c>
      <c r="K332" s="7" t="s">
        <v>27</v>
      </c>
      <c r="M332" s="13">
        <f t="shared" si="25"/>
        <v>5</v>
      </c>
      <c r="N332" s="14"/>
      <c r="O332" s="15">
        <f t="shared" si="26"/>
        <v>143.523821989529</v>
      </c>
      <c r="P332" s="16"/>
      <c r="Q332" s="14">
        <f t="shared" si="27"/>
        <v>3</v>
      </c>
      <c r="R332" s="14"/>
      <c r="S332" s="14"/>
      <c r="T332" s="13" t="str">
        <f t="shared" si="28"/>
        <v>On-Time</v>
      </c>
      <c r="U332" s="14"/>
      <c r="V332" s="13" t="str">
        <f t="shared" si="29"/>
        <v>Low Quantity</v>
      </c>
      <c r="W332" s="16"/>
    </row>
    <row r="333" spans="1:23">
      <c r="A333" s="5" t="s">
        <v>392</v>
      </c>
      <c r="B333" s="6">
        <v>45302</v>
      </c>
      <c r="C333" s="7" t="s">
        <v>33</v>
      </c>
      <c r="D333" s="7" t="s">
        <v>34</v>
      </c>
      <c r="E333" s="5">
        <v>787</v>
      </c>
      <c r="F333" s="9">
        <v>16510.47</v>
      </c>
      <c r="G333" s="6">
        <v>45305</v>
      </c>
      <c r="H333" s="6">
        <v>45316</v>
      </c>
      <c r="I333" s="7" t="s">
        <v>35</v>
      </c>
      <c r="J333" s="7" t="s">
        <v>44</v>
      </c>
      <c r="K333" s="7" t="s">
        <v>27</v>
      </c>
      <c r="M333" s="13">
        <f t="shared" si="25"/>
        <v>11</v>
      </c>
      <c r="N333" s="14"/>
      <c r="O333" s="15">
        <f t="shared" si="26"/>
        <v>20.9789961880559</v>
      </c>
      <c r="P333" s="16"/>
      <c r="Q333" s="14">
        <f t="shared" si="27"/>
        <v>3</v>
      </c>
      <c r="R333" s="14"/>
      <c r="S333" s="14"/>
      <c r="T333" s="13" t="str">
        <f t="shared" si="28"/>
        <v>On-Time</v>
      </c>
      <c r="U333" s="14"/>
      <c r="V333" s="13" t="str">
        <f t="shared" si="29"/>
        <v>Low Quantity</v>
      </c>
      <c r="W333" s="16"/>
    </row>
    <row r="334" spans="1:23">
      <c r="A334" s="5" t="s">
        <v>393</v>
      </c>
      <c r="B334" s="6">
        <v>45599</v>
      </c>
      <c r="C334" s="7" t="s">
        <v>56</v>
      </c>
      <c r="D334" s="7" t="s">
        <v>77</v>
      </c>
      <c r="E334" s="8">
        <v>4573</v>
      </c>
      <c r="F334" s="9">
        <v>6134.69</v>
      </c>
      <c r="G334" s="6">
        <v>45600</v>
      </c>
      <c r="H334" s="6">
        <v>45606</v>
      </c>
      <c r="I334" s="7" t="s">
        <v>35</v>
      </c>
      <c r="J334" s="7" t="s">
        <v>26</v>
      </c>
      <c r="K334" s="7" t="s">
        <v>27</v>
      </c>
      <c r="M334" s="13">
        <f t="shared" si="25"/>
        <v>6</v>
      </c>
      <c r="N334" s="14"/>
      <c r="O334" s="15">
        <f t="shared" si="26"/>
        <v>1.34150229608572</v>
      </c>
      <c r="P334" s="16"/>
      <c r="Q334" s="14">
        <f t="shared" si="27"/>
        <v>1</v>
      </c>
      <c r="R334" s="14"/>
      <c r="S334" s="14"/>
      <c r="T334" s="13" t="str">
        <f t="shared" si="28"/>
        <v>On-Time</v>
      </c>
      <c r="U334" s="14"/>
      <c r="V334" s="13" t="str">
        <f t="shared" si="29"/>
        <v>High Quantity</v>
      </c>
      <c r="W334" s="16"/>
    </row>
    <row r="335" spans="1:23">
      <c r="A335" s="5" t="s">
        <v>394</v>
      </c>
      <c r="B335" s="6">
        <v>45739</v>
      </c>
      <c r="C335" s="7" t="s">
        <v>79</v>
      </c>
      <c r="D335" s="7" t="s">
        <v>18</v>
      </c>
      <c r="E335" s="8">
        <v>4011</v>
      </c>
      <c r="F335" s="9">
        <v>3342.32</v>
      </c>
      <c r="G335" s="6">
        <v>45742</v>
      </c>
      <c r="H335" s="6">
        <v>45747</v>
      </c>
      <c r="I335" s="7" t="s">
        <v>30</v>
      </c>
      <c r="J335" s="7" t="s">
        <v>26</v>
      </c>
      <c r="K335" s="7" t="s">
        <v>27</v>
      </c>
      <c r="M335" s="13">
        <f t="shared" si="25"/>
        <v>5</v>
      </c>
      <c r="N335" s="14"/>
      <c r="O335" s="15">
        <f t="shared" si="26"/>
        <v>0.833288456743954</v>
      </c>
      <c r="P335" s="16"/>
      <c r="Q335" s="14">
        <f t="shared" si="27"/>
        <v>3</v>
      </c>
      <c r="R335" s="14"/>
      <c r="S335" s="14"/>
      <c r="T335" s="13" t="str">
        <f t="shared" si="28"/>
        <v>On-Time</v>
      </c>
      <c r="U335" s="14"/>
      <c r="V335" s="13" t="str">
        <f t="shared" si="29"/>
        <v>High Quantity</v>
      </c>
      <c r="W335" s="16"/>
    </row>
    <row r="336" spans="1:23">
      <c r="A336" s="5" t="s">
        <v>395</v>
      </c>
      <c r="B336" s="6">
        <v>45751</v>
      </c>
      <c r="C336" s="7" t="s">
        <v>33</v>
      </c>
      <c r="D336" s="7" t="s">
        <v>46</v>
      </c>
      <c r="E336" s="5">
        <v>777</v>
      </c>
      <c r="F336" s="9">
        <v>5519.19</v>
      </c>
      <c r="G336" s="6">
        <v>45752</v>
      </c>
      <c r="H336" s="6">
        <v>45762</v>
      </c>
      <c r="I336" s="7" t="s">
        <v>19</v>
      </c>
      <c r="J336" s="7" t="s">
        <v>26</v>
      </c>
      <c r="K336" s="7" t="s">
        <v>21</v>
      </c>
      <c r="M336" s="13">
        <f t="shared" si="25"/>
        <v>10</v>
      </c>
      <c r="N336" s="14"/>
      <c r="O336" s="15">
        <f t="shared" si="26"/>
        <v>7.10320463320463</v>
      </c>
      <c r="P336" s="16"/>
      <c r="Q336" s="14">
        <f t="shared" si="27"/>
        <v>1</v>
      </c>
      <c r="R336" s="14"/>
      <c r="S336" s="14"/>
      <c r="T336" s="13" t="str">
        <f t="shared" si="28"/>
        <v>Delayed</v>
      </c>
      <c r="U336" s="14"/>
      <c r="V336" s="13" t="str">
        <f t="shared" si="29"/>
        <v>Low Quantity</v>
      </c>
      <c r="W336" s="16"/>
    </row>
    <row r="337" spans="1:23">
      <c r="A337" s="5" t="s">
        <v>396</v>
      </c>
      <c r="B337" s="6">
        <v>45851</v>
      </c>
      <c r="C337" s="7" t="s">
        <v>24</v>
      </c>
      <c r="D337" s="7" t="s">
        <v>34</v>
      </c>
      <c r="E337" s="8">
        <v>1431</v>
      </c>
      <c r="F337" s="9">
        <v>15312.65</v>
      </c>
      <c r="G337" s="6">
        <v>45852</v>
      </c>
      <c r="H337" s="6">
        <v>45859</v>
      </c>
      <c r="I337" s="7" t="s">
        <v>30</v>
      </c>
      <c r="J337" s="7" t="s">
        <v>44</v>
      </c>
      <c r="K337" s="7" t="s">
        <v>27</v>
      </c>
      <c r="M337" s="13">
        <f t="shared" si="25"/>
        <v>7</v>
      </c>
      <c r="N337" s="14"/>
      <c r="O337" s="15">
        <f t="shared" si="26"/>
        <v>10.7006638714186</v>
      </c>
      <c r="P337" s="16"/>
      <c r="Q337" s="14">
        <f t="shared" si="27"/>
        <v>1</v>
      </c>
      <c r="R337" s="14"/>
      <c r="S337" s="14"/>
      <c r="T337" s="13" t="str">
        <f t="shared" si="28"/>
        <v>On-Time</v>
      </c>
      <c r="U337" s="14"/>
      <c r="V337" s="13" t="str">
        <f t="shared" si="29"/>
        <v>Low Quantity</v>
      </c>
      <c r="W337" s="16"/>
    </row>
    <row r="338" spans="1:23">
      <c r="A338" s="5" t="s">
        <v>397</v>
      </c>
      <c r="B338" s="6">
        <v>45904</v>
      </c>
      <c r="C338" s="7" t="s">
        <v>65</v>
      </c>
      <c r="D338" s="7" t="s">
        <v>34</v>
      </c>
      <c r="E338" s="8">
        <v>1402</v>
      </c>
      <c r="F338" s="9">
        <v>32890.16</v>
      </c>
      <c r="G338" s="6">
        <v>45905</v>
      </c>
      <c r="H338" s="6">
        <v>45907</v>
      </c>
      <c r="I338" s="7" t="s">
        <v>19</v>
      </c>
      <c r="J338" s="7" t="s">
        <v>59</v>
      </c>
      <c r="K338" s="7" t="s">
        <v>27</v>
      </c>
      <c r="M338" s="13">
        <f t="shared" si="25"/>
        <v>2</v>
      </c>
      <c r="N338" s="14"/>
      <c r="O338" s="15">
        <f t="shared" si="26"/>
        <v>23.4594579172611</v>
      </c>
      <c r="P338" s="16"/>
      <c r="Q338" s="14">
        <f t="shared" si="27"/>
        <v>1</v>
      </c>
      <c r="R338" s="14"/>
      <c r="S338" s="14"/>
      <c r="T338" s="13" t="str">
        <f t="shared" si="28"/>
        <v>On-Time</v>
      </c>
      <c r="U338" s="14"/>
      <c r="V338" s="13" t="str">
        <f t="shared" si="29"/>
        <v>Low Quantity</v>
      </c>
      <c r="W338" s="16"/>
    </row>
    <row r="339" spans="1:23">
      <c r="A339" s="5" t="s">
        <v>398</v>
      </c>
      <c r="B339" s="6">
        <v>45944</v>
      </c>
      <c r="C339" s="7" t="s">
        <v>92</v>
      </c>
      <c r="D339" s="7" t="s">
        <v>39</v>
      </c>
      <c r="E339" s="8">
        <v>1519</v>
      </c>
      <c r="F339" s="9">
        <v>10832.41</v>
      </c>
      <c r="G339" s="6">
        <v>45947</v>
      </c>
      <c r="H339" s="6">
        <v>45962</v>
      </c>
      <c r="I339" s="7" t="s">
        <v>19</v>
      </c>
      <c r="J339" s="7" t="s">
        <v>44</v>
      </c>
      <c r="K339" s="7" t="s">
        <v>21</v>
      </c>
      <c r="M339" s="13">
        <f t="shared" si="25"/>
        <v>15</v>
      </c>
      <c r="N339" s="14"/>
      <c r="O339" s="15">
        <f t="shared" si="26"/>
        <v>7.1312771560237</v>
      </c>
      <c r="P339" s="16"/>
      <c r="Q339" s="14">
        <f t="shared" si="27"/>
        <v>3</v>
      </c>
      <c r="R339" s="14"/>
      <c r="S339" s="14"/>
      <c r="T339" s="13" t="str">
        <f t="shared" si="28"/>
        <v>Delayed</v>
      </c>
      <c r="U339" s="14"/>
      <c r="V339" s="13" t="str">
        <f t="shared" si="29"/>
        <v>Low Quantity</v>
      </c>
      <c r="W339" s="16"/>
    </row>
    <row r="340" spans="1:23">
      <c r="A340" s="5" t="s">
        <v>399</v>
      </c>
      <c r="B340" s="6">
        <v>45309</v>
      </c>
      <c r="C340" s="7" t="s">
        <v>38</v>
      </c>
      <c r="D340" s="7" t="s">
        <v>18</v>
      </c>
      <c r="E340" s="8">
        <v>1106</v>
      </c>
      <c r="F340" s="9">
        <v>3376.8</v>
      </c>
      <c r="G340" s="6">
        <v>45310</v>
      </c>
      <c r="H340" s="6">
        <v>45312</v>
      </c>
      <c r="I340" s="7" t="s">
        <v>30</v>
      </c>
      <c r="J340" s="7" t="s">
        <v>26</v>
      </c>
      <c r="K340" s="7" t="s">
        <v>27</v>
      </c>
      <c r="M340" s="13">
        <f t="shared" si="25"/>
        <v>2</v>
      </c>
      <c r="N340" s="14"/>
      <c r="O340" s="15">
        <f t="shared" si="26"/>
        <v>3.05316455696203</v>
      </c>
      <c r="P340" s="16"/>
      <c r="Q340" s="14">
        <f t="shared" si="27"/>
        <v>1</v>
      </c>
      <c r="R340" s="14"/>
      <c r="S340" s="14"/>
      <c r="T340" s="13" t="str">
        <f t="shared" si="28"/>
        <v>On-Time</v>
      </c>
      <c r="U340" s="14"/>
      <c r="V340" s="13" t="str">
        <f t="shared" si="29"/>
        <v>Low Quantity</v>
      </c>
      <c r="W340" s="16"/>
    </row>
    <row r="341" spans="1:23">
      <c r="A341" s="5" t="s">
        <v>400</v>
      </c>
      <c r="B341" s="6">
        <v>45488</v>
      </c>
      <c r="C341" s="7" t="s">
        <v>92</v>
      </c>
      <c r="D341" s="7" t="s">
        <v>100</v>
      </c>
      <c r="E341" s="5">
        <v>88</v>
      </c>
      <c r="F341" s="9">
        <v>4462.66</v>
      </c>
      <c r="G341" s="6">
        <v>45489</v>
      </c>
      <c r="H341" s="6">
        <v>45504</v>
      </c>
      <c r="I341" s="7" t="s">
        <v>19</v>
      </c>
      <c r="J341" s="7" t="s">
        <v>44</v>
      </c>
      <c r="K341" s="7" t="s">
        <v>21</v>
      </c>
      <c r="M341" s="13">
        <f t="shared" si="25"/>
        <v>15</v>
      </c>
      <c r="N341" s="14"/>
      <c r="O341" s="15">
        <f t="shared" si="26"/>
        <v>50.7120454545455</v>
      </c>
      <c r="P341" s="16"/>
      <c r="Q341" s="14">
        <f t="shared" si="27"/>
        <v>1</v>
      </c>
      <c r="R341" s="14"/>
      <c r="S341" s="14"/>
      <c r="T341" s="13" t="str">
        <f t="shared" si="28"/>
        <v>Delayed</v>
      </c>
      <c r="U341" s="14"/>
      <c r="V341" s="13" t="str">
        <f t="shared" si="29"/>
        <v>Low Quantity</v>
      </c>
      <c r="W341" s="16"/>
    </row>
    <row r="342" spans="1:23">
      <c r="A342" s="5" t="s">
        <v>401</v>
      </c>
      <c r="B342" s="6">
        <v>45645</v>
      </c>
      <c r="C342" s="7" t="s">
        <v>94</v>
      </c>
      <c r="D342" s="7" t="s">
        <v>77</v>
      </c>
      <c r="E342" s="8">
        <v>1776</v>
      </c>
      <c r="F342" s="9">
        <v>14357.57</v>
      </c>
      <c r="G342" s="6">
        <v>45648</v>
      </c>
      <c r="H342" s="6">
        <v>45651</v>
      </c>
      <c r="I342" s="7" t="s">
        <v>30</v>
      </c>
      <c r="J342" s="7" t="s">
        <v>26</v>
      </c>
      <c r="K342" s="7" t="s">
        <v>27</v>
      </c>
      <c r="M342" s="13">
        <f t="shared" si="25"/>
        <v>3</v>
      </c>
      <c r="N342" s="14"/>
      <c r="O342" s="15">
        <f t="shared" si="26"/>
        <v>8.08421734234234</v>
      </c>
      <c r="P342" s="16"/>
      <c r="Q342" s="14">
        <f t="shared" si="27"/>
        <v>3</v>
      </c>
      <c r="R342" s="14"/>
      <c r="S342" s="14"/>
      <c r="T342" s="13" t="str">
        <f t="shared" si="28"/>
        <v>On-Time</v>
      </c>
      <c r="U342" s="14"/>
      <c r="V342" s="13" t="str">
        <f t="shared" si="29"/>
        <v>Low Quantity</v>
      </c>
      <c r="W342" s="16"/>
    </row>
    <row r="343" spans="1:23">
      <c r="A343" s="5" t="s">
        <v>402</v>
      </c>
      <c r="B343" s="6">
        <v>45959</v>
      </c>
      <c r="C343" s="7" t="s">
        <v>17</v>
      </c>
      <c r="D343" s="7" t="s">
        <v>25</v>
      </c>
      <c r="E343" s="8">
        <v>1013</v>
      </c>
      <c r="F343" s="9">
        <v>3380.36</v>
      </c>
      <c r="G343" s="6">
        <v>45962</v>
      </c>
      <c r="H343" s="6">
        <v>45969</v>
      </c>
      <c r="I343" s="7" t="s">
        <v>19</v>
      </c>
      <c r="J343" s="7" t="s">
        <v>26</v>
      </c>
      <c r="K343" s="7" t="s">
        <v>27</v>
      </c>
      <c r="M343" s="13">
        <f t="shared" si="25"/>
        <v>7</v>
      </c>
      <c r="N343" s="14"/>
      <c r="O343" s="15">
        <f t="shared" si="26"/>
        <v>3.33697926949654</v>
      </c>
      <c r="P343" s="16"/>
      <c r="Q343" s="14">
        <f t="shared" si="27"/>
        <v>3</v>
      </c>
      <c r="R343" s="14"/>
      <c r="S343" s="14"/>
      <c r="T343" s="13" t="str">
        <f t="shared" si="28"/>
        <v>On-Time</v>
      </c>
      <c r="U343" s="14"/>
      <c r="V343" s="13" t="str">
        <f t="shared" si="29"/>
        <v>Low Quantity</v>
      </c>
      <c r="W343" s="16"/>
    </row>
    <row r="344" spans="1:23">
      <c r="A344" s="5" t="s">
        <v>403</v>
      </c>
      <c r="B344" s="6">
        <v>45863</v>
      </c>
      <c r="C344" s="7" t="s">
        <v>24</v>
      </c>
      <c r="D344" s="7" t="s">
        <v>81</v>
      </c>
      <c r="E344" s="8">
        <v>2781</v>
      </c>
      <c r="F344" s="9">
        <v>2848.21</v>
      </c>
      <c r="G344" s="6">
        <v>45864</v>
      </c>
      <c r="H344" s="6">
        <v>45878</v>
      </c>
      <c r="I344" s="7" t="s">
        <v>49</v>
      </c>
      <c r="J344" s="7" t="s">
        <v>20</v>
      </c>
      <c r="K344" s="7" t="s">
        <v>27</v>
      </c>
      <c r="M344" s="13">
        <f t="shared" si="25"/>
        <v>14</v>
      </c>
      <c r="N344" s="14"/>
      <c r="O344" s="15">
        <f t="shared" si="26"/>
        <v>1.02416756562388</v>
      </c>
      <c r="P344" s="16"/>
      <c r="Q344" s="14">
        <f t="shared" si="27"/>
        <v>1</v>
      </c>
      <c r="R344" s="14"/>
      <c r="S344" s="14"/>
      <c r="T344" s="13" t="str">
        <f t="shared" si="28"/>
        <v>On-Time</v>
      </c>
      <c r="U344" s="14"/>
      <c r="V344" s="13" t="str">
        <f t="shared" si="29"/>
        <v>Low Quantity</v>
      </c>
      <c r="W344" s="16"/>
    </row>
    <row r="345" spans="1:23">
      <c r="A345" s="5" t="s">
        <v>404</v>
      </c>
      <c r="B345" s="6">
        <v>45607</v>
      </c>
      <c r="C345" s="7" t="s">
        <v>38</v>
      </c>
      <c r="D345" s="7" t="s">
        <v>81</v>
      </c>
      <c r="E345" s="8">
        <v>1877</v>
      </c>
      <c r="F345" s="9">
        <v>2614.46</v>
      </c>
      <c r="G345" s="6">
        <v>45608</v>
      </c>
      <c r="H345" s="6">
        <v>45621</v>
      </c>
      <c r="I345" s="7" t="s">
        <v>49</v>
      </c>
      <c r="J345" s="7" t="s">
        <v>44</v>
      </c>
      <c r="K345" s="7" t="s">
        <v>21</v>
      </c>
      <c r="M345" s="13">
        <f t="shared" si="25"/>
        <v>13</v>
      </c>
      <c r="N345" s="14"/>
      <c r="O345" s="15">
        <f t="shared" si="26"/>
        <v>1.39289291422483</v>
      </c>
      <c r="P345" s="16"/>
      <c r="Q345" s="14">
        <f t="shared" si="27"/>
        <v>1</v>
      </c>
      <c r="R345" s="14"/>
      <c r="S345" s="14"/>
      <c r="T345" s="13" t="str">
        <f t="shared" si="28"/>
        <v>Delayed</v>
      </c>
      <c r="U345" s="14"/>
      <c r="V345" s="13" t="str">
        <f t="shared" si="29"/>
        <v>Low Quantity</v>
      </c>
      <c r="W345" s="16"/>
    </row>
    <row r="346" spans="1:23">
      <c r="A346" s="5" t="s">
        <v>405</v>
      </c>
      <c r="B346" s="6">
        <v>45945</v>
      </c>
      <c r="C346" s="7" t="s">
        <v>76</v>
      </c>
      <c r="D346" s="7" t="s">
        <v>77</v>
      </c>
      <c r="E346" s="8">
        <v>1540</v>
      </c>
      <c r="F346" s="9">
        <v>4919.86</v>
      </c>
      <c r="G346" s="6">
        <v>45948</v>
      </c>
      <c r="H346" s="6">
        <v>45950</v>
      </c>
      <c r="I346" s="7" t="s">
        <v>30</v>
      </c>
      <c r="J346" s="7" t="s">
        <v>59</v>
      </c>
      <c r="K346" s="7" t="s">
        <v>27</v>
      </c>
      <c r="M346" s="13">
        <f t="shared" si="25"/>
        <v>2</v>
      </c>
      <c r="N346" s="14"/>
      <c r="O346" s="15">
        <f t="shared" si="26"/>
        <v>3.19471428571429</v>
      </c>
      <c r="P346" s="16"/>
      <c r="Q346" s="14">
        <f t="shared" si="27"/>
        <v>3</v>
      </c>
      <c r="R346" s="14"/>
      <c r="S346" s="14"/>
      <c r="T346" s="13" t="str">
        <f t="shared" si="28"/>
        <v>On-Time</v>
      </c>
      <c r="U346" s="14"/>
      <c r="V346" s="13" t="str">
        <f t="shared" si="29"/>
        <v>Low Quantity</v>
      </c>
      <c r="W346" s="16"/>
    </row>
    <row r="347" spans="1:23">
      <c r="A347" s="5" t="s">
        <v>406</v>
      </c>
      <c r="B347" s="6">
        <v>45432</v>
      </c>
      <c r="C347" s="7" t="s">
        <v>76</v>
      </c>
      <c r="D347" s="7" t="s">
        <v>81</v>
      </c>
      <c r="E347" s="8">
        <v>4688</v>
      </c>
      <c r="F347" s="9">
        <v>177.05</v>
      </c>
      <c r="G347" s="6">
        <v>45435</v>
      </c>
      <c r="H347" s="6">
        <v>45444</v>
      </c>
      <c r="I347" s="7" t="s">
        <v>19</v>
      </c>
      <c r="J347" s="7" t="s">
        <v>44</v>
      </c>
      <c r="K347" s="7" t="s">
        <v>27</v>
      </c>
      <c r="M347" s="13">
        <f t="shared" si="25"/>
        <v>9</v>
      </c>
      <c r="N347" s="14"/>
      <c r="O347" s="15">
        <f t="shared" si="26"/>
        <v>0.037766638225256</v>
      </c>
      <c r="P347" s="16"/>
      <c r="Q347" s="14">
        <f t="shared" si="27"/>
        <v>3</v>
      </c>
      <c r="R347" s="14"/>
      <c r="S347" s="14"/>
      <c r="T347" s="13" t="str">
        <f t="shared" si="28"/>
        <v>On-Time</v>
      </c>
      <c r="U347" s="14"/>
      <c r="V347" s="13" t="str">
        <f t="shared" si="29"/>
        <v>High Quantity</v>
      </c>
      <c r="W347" s="16"/>
    </row>
    <row r="348" spans="1:23">
      <c r="A348" s="5" t="s">
        <v>407</v>
      </c>
      <c r="B348" s="6">
        <v>45907</v>
      </c>
      <c r="C348" s="7" t="s">
        <v>87</v>
      </c>
      <c r="D348" s="7" t="s">
        <v>81</v>
      </c>
      <c r="E348" s="8">
        <v>3913</v>
      </c>
      <c r="F348" s="9">
        <v>490.87</v>
      </c>
      <c r="G348" s="6">
        <v>45909</v>
      </c>
      <c r="H348" s="6">
        <v>45912</v>
      </c>
      <c r="I348" s="7" t="s">
        <v>19</v>
      </c>
      <c r="J348" s="7" t="s">
        <v>26</v>
      </c>
      <c r="K348" s="7" t="s">
        <v>27</v>
      </c>
      <c r="M348" s="13">
        <f t="shared" si="25"/>
        <v>3</v>
      </c>
      <c r="N348" s="14"/>
      <c r="O348" s="15">
        <f t="shared" si="26"/>
        <v>0.125445949399438</v>
      </c>
      <c r="P348" s="16"/>
      <c r="Q348" s="14">
        <f t="shared" si="27"/>
        <v>2</v>
      </c>
      <c r="R348" s="14"/>
      <c r="S348" s="14"/>
      <c r="T348" s="13" t="str">
        <f t="shared" si="28"/>
        <v>On-Time</v>
      </c>
      <c r="U348" s="14"/>
      <c r="V348" s="13" t="str">
        <f t="shared" si="29"/>
        <v>High Quantity</v>
      </c>
      <c r="W348" s="16"/>
    </row>
    <row r="349" spans="1:23">
      <c r="A349" s="5" t="s">
        <v>408</v>
      </c>
      <c r="B349" s="6">
        <v>45520</v>
      </c>
      <c r="C349" s="7" t="s">
        <v>94</v>
      </c>
      <c r="D349" s="7" t="s">
        <v>77</v>
      </c>
      <c r="E349" s="8">
        <v>3075</v>
      </c>
      <c r="F349" s="9">
        <v>4072.94</v>
      </c>
      <c r="G349" s="6">
        <v>45521</v>
      </c>
      <c r="H349" s="6">
        <v>45525</v>
      </c>
      <c r="I349" s="7" t="s">
        <v>30</v>
      </c>
      <c r="J349" s="7" t="s">
        <v>59</v>
      </c>
      <c r="K349" s="7" t="s">
        <v>27</v>
      </c>
      <c r="M349" s="13">
        <f t="shared" si="25"/>
        <v>4</v>
      </c>
      <c r="N349" s="14"/>
      <c r="O349" s="15">
        <f t="shared" si="26"/>
        <v>1.32453333333333</v>
      </c>
      <c r="P349" s="16"/>
      <c r="Q349" s="14">
        <f t="shared" si="27"/>
        <v>1</v>
      </c>
      <c r="R349" s="14"/>
      <c r="S349" s="14"/>
      <c r="T349" s="13" t="str">
        <f t="shared" si="28"/>
        <v>On-Time</v>
      </c>
      <c r="U349" s="14"/>
      <c r="V349" s="13" t="str">
        <f t="shared" si="29"/>
        <v>High Quantity</v>
      </c>
      <c r="W349" s="16"/>
    </row>
    <row r="350" spans="1:23">
      <c r="A350" s="5" t="s">
        <v>409</v>
      </c>
      <c r="B350" s="6">
        <v>45856</v>
      </c>
      <c r="C350" s="7" t="s">
        <v>56</v>
      </c>
      <c r="D350" s="7" t="s">
        <v>41</v>
      </c>
      <c r="E350" s="8">
        <v>1086</v>
      </c>
      <c r="F350" s="9">
        <v>1625.67</v>
      </c>
      <c r="G350" s="6">
        <v>45859</v>
      </c>
      <c r="H350" s="6">
        <v>45863</v>
      </c>
      <c r="I350" s="7" t="s">
        <v>30</v>
      </c>
      <c r="J350" s="7" t="s">
        <v>26</v>
      </c>
      <c r="K350" s="7" t="s">
        <v>27</v>
      </c>
      <c r="M350" s="13">
        <f t="shared" si="25"/>
        <v>4</v>
      </c>
      <c r="N350" s="14"/>
      <c r="O350" s="15">
        <f t="shared" si="26"/>
        <v>1.49693370165746</v>
      </c>
      <c r="P350" s="16"/>
      <c r="Q350" s="14">
        <f t="shared" si="27"/>
        <v>3</v>
      </c>
      <c r="R350" s="14"/>
      <c r="S350" s="14"/>
      <c r="T350" s="13" t="str">
        <f t="shared" si="28"/>
        <v>On-Time</v>
      </c>
      <c r="U350" s="14"/>
      <c r="V350" s="13" t="str">
        <f t="shared" si="29"/>
        <v>Low Quantity</v>
      </c>
      <c r="W350" s="16"/>
    </row>
    <row r="351" spans="1:23">
      <c r="A351" s="5" t="s">
        <v>410</v>
      </c>
      <c r="B351" s="6">
        <v>45614</v>
      </c>
      <c r="C351" s="7" t="s">
        <v>29</v>
      </c>
      <c r="D351" s="7" t="s">
        <v>46</v>
      </c>
      <c r="E351" s="8">
        <v>1566</v>
      </c>
      <c r="F351" s="9">
        <v>2746.02</v>
      </c>
      <c r="G351" s="6">
        <v>45617</v>
      </c>
      <c r="H351" s="6">
        <v>45625</v>
      </c>
      <c r="I351" s="7" t="s">
        <v>35</v>
      </c>
      <c r="J351" s="7" t="s">
        <v>44</v>
      </c>
      <c r="K351" s="7" t="s">
        <v>27</v>
      </c>
      <c r="M351" s="13">
        <f t="shared" si="25"/>
        <v>8</v>
      </c>
      <c r="N351" s="14"/>
      <c r="O351" s="15">
        <f t="shared" si="26"/>
        <v>1.75352490421456</v>
      </c>
      <c r="P351" s="16"/>
      <c r="Q351" s="14">
        <f t="shared" si="27"/>
        <v>3</v>
      </c>
      <c r="R351" s="14"/>
      <c r="S351" s="14"/>
      <c r="T351" s="13" t="str">
        <f t="shared" si="28"/>
        <v>On-Time</v>
      </c>
      <c r="U351" s="14"/>
      <c r="V351" s="13" t="str">
        <f t="shared" si="29"/>
        <v>Low Quantity</v>
      </c>
      <c r="W351" s="16"/>
    </row>
    <row r="352" spans="1:23">
      <c r="A352" s="5" t="s">
        <v>411</v>
      </c>
      <c r="B352" s="6">
        <v>45994</v>
      </c>
      <c r="C352" s="7" t="s">
        <v>58</v>
      </c>
      <c r="D352" s="7" t="s">
        <v>81</v>
      </c>
      <c r="E352" s="5">
        <v>814</v>
      </c>
      <c r="F352" s="9">
        <v>1924.55</v>
      </c>
      <c r="G352" s="6">
        <v>45995</v>
      </c>
      <c r="H352" s="6">
        <v>45998</v>
      </c>
      <c r="I352" s="7" t="s">
        <v>49</v>
      </c>
      <c r="J352" s="7" t="s">
        <v>26</v>
      </c>
      <c r="K352" s="7" t="s">
        <v>27</v>
      </c>
      <c r="M352" s="13">
        <f t="shared" si="25"/>
        <v>3</v>
      </c>
      <c r="N352" s="14"/>
      <c r="O352" s="15">
        <f t="shared" si="26"/>
        <v>2.36431203931204</v>
      </c>
      <c r="P352" s="16"/>
      <c r="Q352" s="14">
        <f t="shared" si="27"/>
        <v>1</v>
      </c>
      <c r="R352" s="14"/>
      <c r="S352" s="14"/>
      <c r="T352" s="13" t="str">
        <f t="shared" si="28"/>
        <v>On-Time</v>
      </c>
      <c r="U352" s="14"/>
      <c r="V352" s="13" t="str">
        <f t="shared" si="29"/>
        <v>Low Quantity</v>
      </c>
      <c r="W352" s="16"/>
    </row>
    <row r="353" spans="1:23">
      <c r="A353" s="5" t="s">
        <v>412</v>
      </c>
      <c r="B353" s="6">
        <v>45466</v>
      </c>
      <c r="C353" s="7" t="s">
        <v>56</v>
      </c>
      <c r="D353" s="7" t="s">
        <v>100</v>
      </c>
      <c r="E353" s="5">
        <v>778</v>
      </c>
      <c r="F353" s="9">
        <v>5410.84</v>
      </c>
      <c r="G353" s="6">
        <v>45467</v>
      </c>
      <c r="H353" s="6">
        <v>45473</v>
      </c>
      <c r="I353" s="7" t="s">
        <v>49</v>
      </c>
      <c r="J353" s="7" t="s">
        <v>44</v>
      </c>
      <c r="K353" s="7" t="s">
        <v>27</v>
      </c>
      <c r="M353" s="13">
        <f t="shared" si="25"/>
        <v>6</v>
      </c>
      <c r="N353" s="14"/>
      <c r="O353" s="15">
        <f t="shared" si="26"/>
        <v>6.95480719794344</v>
      </c>
      <c r="P353" s="16"/>
      <c r="Q353" s="14">
        <f t="shared" si="27"/>
        <v>1</v>
      </c>
      <c r="R353" s="14"/>
      <c r="S353" s="14"/>
      <c r="T353" s="13" t="str">
        <f t="shared" si="28"/>
        <v>On-Time</v>
      </c>
      <c r="U353" s="14"/>
      <c r="V353" s="13" t="str">
        <f t="shared" si="29"/>
        <v>Low Quantity</v>
      </c>
      <c r="W353" s="16"/>
    </row>
    <row r="354" spans="1:23">
      <c r="A354" s="5" t="s">
        <v>413</v>
      </c>
      <c r="B354" s="6">
        <v>45490</v>
      </c>
      <c r="C354" s="7" t="s">
        <v>76</v>
      </c>
      <c r="D354" s="7" t="s">
        <v>18</v>
      </c>
      <c r="E354" s="8">
        <v>1221</v>
      </c>
      <c r="F354" s="9">
        <v>11963.91</v>
      </c>
      <c r="G354" s="6">
        <v>45491</v>
      </c>
      <c r="H354" s="6">
        <v>45496</v>
      </c>
      <c r="I354" s="7" t="s">
        <v>19</v>
      </c>
      <c r="J354" s="7" t="s">
        <v>26</v>
      </c>
      <c r="K354" s="7" t="s">
        <v>27</v>
      </c>
      <c r="M354" s="13">
        <f t="shared" si="25"/>
        <v>5</v>
      </c>
      <c r="N354" s="14"/>
      <c r="O354" s="15">
        <f t="shared" si="26"/>
        <v>9.79845208845209</v>
      </c>
      <c r="P354" s="16"/>
      <c r="Q354" s="14">
        <f t="shared" si="27"/>
        <v>1</v>
      </c>
      <c r="R354" s="14"/>
      <c r="S354" s="14"/>
      <c r="T354" s="13" t="str">
        <f t="shared" si="28"/>
        <v>On-Time</v>
      </c>
      <c r="U354" s="14"/>
      <c r="V354" s="13" t="str">
        <f t="shared" si="29"/>
        <v>Low Quantity</v>
      </c>
      <c r="W354" s="16"/>
    </row>
    <row r="355" spans="1:23">
      <c r="A355" s="5" t="s">
        <v>414</v>
      </c>
      <c r="B355" s="6">
        <v>45986</v>
      </c>
      <c r="C355" s="7" t="s">
        <v>17</v>
      </c>
      <c r="D355" s="7" t="s">
        <v>41</v>
      </c>
      <c r="E355" s="8">
        <v>1604</v>
      </c>
      <c r="F355" s="9">
        <v>529.69</v>
      </c>
      <c r="G355" s="6">
        <v>45988</v>
      </c>
      <c r="H355" s="6">
        <v>45994</v>
      </c>
      <c r="I355" s="7" t="s">
        <v>35</v>
      </c>
      <c r="J355" s="7" t="s">
        <v>26</v>
      </c>
      <c r="K355" s="7" t="s">
        <v>27</v>
      </c>
      <c r="M355" s="13">
        <f t="shared" si="25"/>
        <v>6</v>
      </c>
      <c r="N355" s="14"/>
      <c r="O355" s="15">
        <f t="shared" si="26"/>
        <v>0.330230673316708</v>
      </c>
      <c r="P355" s="16"/>
      <c r="Q355" s="14">
        <f t="shared" si="27"/>
        <v>2</v>
      </c>
      <c r="R355" s="14"/>
      <c r="S355" s="14"/>
      <c r="T355" s="13" t="str">
        <f t="shared" si="28"/>
        <v>On-Time</v>
      </c>
      <c r="U355" s="14"/>
      <c r="V355" s="13" t="str">
        <f t="shared" si="29"/>
        <v>Low Quantity</v>
      </c>
      <c r="W355" s="16"/>
    </row>
    <row r="356" spans="1:23">
      <c r="A356" s="5" t="s">
        <v>415</v>
      </c>
      <c r="B356" s="6">
        <v>45970</v>
      </c>
      <c r="C356" s="7" t="s">
        <v>94</v>
      </c>
      <c r="D356" s="7" t="s">
        <v>100</v>
      </c>
      <c r="E356" s="8">
        <v>4962</v>
      </c>
      <c r="F356" s="9">
        <v>2731.58</v>
      </c>
      <c r="G356" s="6">
        <v>45973</v>
      </c>
      <c r="H356" s="6">
        <v>45975</v>
      </c>
      <c r="I356" s="7" t="s">
        <v>19</v>
      </c>
      <c r="J356" s="7" t="s">
        <v>59</v>
      </c>
      <c r="K356" s="7" t="s">
        <v>27</v>
      </c>
      <c r="M356" s="13">
        <f t="shared" si="25"/>
        <v>2</v>
      </c>
      <c r="N356" s="14"/>
      <c r="O356" s="15">
        <f t="shared" si="26"/>
        <v>0.55049979846836</v>
      </c>
      <c r="P356" s="16"/>
      <c r="Q356" s="14">
        <f t="shared" si="27"/>
        <v>3</v>
      </c>
      <c r="R356" s="14"/>
      <c r="S356" s="14"/>
      <c r="T356" s="13" t="str">
        <f t="shared" si="28"/>
        <v>On-Time</v>
      </c>
      <c r="U356" s="14"/>
      <c r="V356" s="13" t="str">
        <f t="shared" si="29"/>
        <v>High Quantity</v>
      </c>
      <c r="W356" s="16"/>
    </row>
    <row r="357" spans="1:23">
      <c r="A357" s="5" t="s">
        <v>416</v>
      </c>
      <c r="B357" s="6">
        <v>45614</v>
      </c>
      <c r="C357" s="7" t="s">
        <v>76</v>
      </c>
      <c r="D357" s="7" t="s">
        <v>18</v>
      </c>
      <c r="E357" s="8">
        <v>2818</v>
      </c>
      <c r="F357" s="9">
        <v>4461.52</v>
      </c>
      <c r="G357" s="6">
        <v>45617</v>
      </c>
      <c r="H357" s="6">
        <v>45619</v>
      </c>
      <c r="I357" s="7" t="s">
        <v>19</v>
      </c>
      <c r="J357" s="7" t="s">
        <v>59</v>
      </c>
      <c r="K357" s="7" t="s">
        <v>27</v>
      </c>
      <c r="M357" s="13">
        <f t="shared" si="25"/>
        <v>2</v>
      </c>
      <c r="N357" s="14"/>
      <c r="O357" s="15">
        <f t="shared" si="26"/>
        <v>1.58322214336409</v>
      </c>
      <c r="P357" s="16"/>
      <c r="Q357" s="14">
        <f t="shared" si="27"/>
        <v>3</v>
      </c>
      <c r="R357" s="14"/>
      <c r="S357" s="14"/>
      <c r="T357" s="13" t="str">
        <f t="shared" si="28"/>
        <v>On-Time</v>
      </c>
      <c r="U357" s="14"/>
      <c r="V357" s="13" t="str">
        <f t="shared" si="29"/>
        <v>Low Quantity</v>
      </c>
      <c r="W357" s="16"/>
    </row>
    <row r="358" spans="1:23">
      <c r="A358" s="5" t="s">
        <v>417</v>
      </c>
      <c r="B358" s="6">
        <v>45360</v>
      </c>
      <c r="C358" s="7" t="s">
        <v>56</v>
      </c>
      <c r="D358" s="7" t="s">
        <v>39</v>
      </c>
      <c r="E358" s="5">
        <v>926</v>
      </c>
      <c r="F358" s="9">
        <v>5031.09</v>
      </c>
      <c r="G358" s="6">
        <v>45363</v>
      </c>
      <c r="H358" s="6">
        <v>45370</v>
      </c>
      <c r="I358" s="7" t="s">
        <v>19</v>
      </c>
      <c r="J358" s="7" t="s">
        <v>26</v>
      </c>
      <c r="K358" s="7" t="s">
        <v>27</v>
      </c>
      <c r="M358" s="13">
        <f t="shared" si="25"/>
        <v>7</v>
      </c>
      <c r="N358" s="14"/>
      <c r="O358" s="15">
        <f t="shared" si="26"/>
        <v>5.43314254859611</v>
      </c>
      <c r="P358" s="16"/>
      <c r="Q358" s="14">
        <f t="shared" si="27"/>
        <v>3</v>
      </c>
      <c r="R358" s="14"/>
      <c r="S358" s="14"/>
      <c r="T358" s="13" t="str">
        <f t="shared" si="28"/>
        <v>On-Time</v>
      </c>
      <c r="U358" s="14"/>
      <c r="V358" s="13" t="str">
        <f t="shared" si="29"/>
        <v>Low Quantity</v>
      </c>
      <c r="W358" s="16"/>
    </row>
    <row r="359" spans="1:23">
      <c r="A359" s="5" t="s">
        <v>418</v>
      </c>
      <c r="B359" s="6">
        <v>45840</v>
      </c>
      <c r="C359" s="7" t="s">
        <v>38</v>
      </c>
      <c r="D359" s="7" t="s">
        <v>41</v>
      </c>
      <c r="E359" s="8">
        <v>2269</v>
      </c>
      <c r="F359" s="9">
        <v>9018.8</v>
      </c>
      <c r="G359" s="6">
        <v>45843</v>
      </c>
      <c r="H359" s="6">
        <v>45850</v>
      </c>
      <c r="I359" s="7" t="s">
        <v>30</v>
      </c>
      <c r="J359" s="7" t="s">
        <v>26</v>
      </c>
      <c r="K359" s="7" t="s">
        <v>27</v>
      </c>
      <c r="M359" s="13">
        <f t="shared" si="25"/>
        <v>7</v>
      </c>
      <c r="N359" s="14"/>
      <c r="O359" s="15">
        <f t="shared" si="26"/>
        <v>3.97479065667695</v>
      </c>
      <c r="P359" s="16"/>
      <c r="Q359" s="14">
        <f t="shared" si="27"/>
        <v>3</v>
      </c>
      <c r="R359" s="14"/>
      <c r="S359" s="14"/>
      <c r="T359" s="13" t="str">
        <f t="shared" si="28"/>
        <v>On-Time</v>
      </c>
      <c r="U359" s="14"/>
      <c r="V359" s="13" t="str">
        <f t="shared" si="29"/>
        <v>Low Quantity</v>
      </c>
      <c r="W359" s="16"/>
    </row>
    <row r="360" spans="1:23">
      <c r="A360" s="5" t="s">
        <v>419</v>
      </c>
      <c r="B360" s="6">
        <v>45414</v>
      </c>
      <c r="C360" s="7" t="s">
        <v>68</v>
      </c>
      <c r="D360" s="7" t="s">
        <v>51</v>
      </c>
      <c r="E360" s="5">
        <v>142</v>
      </c>
      <c r="F360" s="9">
        <v>7071.15</v>
      </c>
      <c r="G360" s="6">
        <v>45417</v>
      </c>
      <c r="H360" s="6">
        <v>45446</v>
      </c>
      <c r="I360" s="7" t="s">
        <v>19</v>
      </c>
      <c r="J360" s="7" t="s">
        <v>20</v>
      </c>
      <c r="K360" s="7" t="s">
        <v>27</v>
      </c>
      <c r="M360" s="13">
        <f t="shared" si="25"/>
        <v>29</v>
      </c>
      <c r="N360" s="14"/>
      <c r="O360" s="15">
        <f t="shared" si="26"/>
        <v>49.7968309859155</v>
      </c>
      <c r="P360" s="16"/>
      <c r="Q360" s="14">
        <f t="shared" si="27"/>
        <v>3</v>
      </c>
      <c r="R360" s="14"/>
      <c r="S360" s="14"/>
      <c r="T360" s="13" t="str">
        <f t="shared" si="28"/>
        <v>On-Time</v>
      </c>
      <c r="U360" s="14"/>
      <c r="V360" s="13" t="str">
        <f t="shared" si="29"/>
        <v>Low Quantity</v>
      </c>
      <c r="W360" s="16"/>
    </row>
    <row r="361" spans="1:23">
      <c r="A361" s="5" t="s">
        <v>420</v>
      </c>
      <c r="B361" s="6">
        <v>45693</v>
      </c>
      <c r="C361" s="7" t="s">
        <v>76</v>
      </c>
      <c r="D361" s="7" t="s">
        <v>25</v>
      </c>
      <c r="E361" s="8">
        <v>2488</v>
      </c>
      <c r="F361" s="9">
        <v>3956.52</v>
      </c>
      <c r="G361" s="6">
        <v>45696</v>
      </c>
      <c r="H361" s="6">
        <v>45705</v>
      </c>
      <c r="I361" s="7" t="s">
        <v>49</v>
      </c>
      <c r="J361" s="7" t="s">
        <v>26</v>
      </c>
      <c r="K361" s="7" t="s">
        <v>21</v>
      </c>
      <c r="M361" s="13">
        <f t="shared" si="25"/>
        <v>9</v>
      </c>
      <c r="N361" s="14"/>
      <c r="O361" s="15">
        <f t="shared" si="26"/>
        <v>1.59024115755627</v>
      </c>
      <c r="P361" s="16"/>
      <c r="Q361" s="14">
        <f t="shared" si="27"/>
        <v>3</v>
      </c>
      <c r="R361" s="14"/>
      <c r="S361" s="14"/>
      <c r="T361" s="13" t="str">
        <f t="shared" si="28"/>
        <v>Delayed</v>
      </c>
      <c r="U361" s="14"/>
      <c r="V361" s="13" t="str">
        <f t="shared" si="29"/>
        <v>Low Quantity</v>
      </c>
      <c r="W361" s="16"/>
    </row>
    <row r="362" spans="1:23">
      <c r="A362" s="5" t="s">
        <v>421</v>
      </c>
      <c r="B362" s="6">
        <v>45389</v>
      </c>
      <c r="C362" s="7" t="s">
        <v>38</v>
      </c>
      <c r="D362" s="7" t="s">
        <v>18</v>
      </c>
      <c r="E362" s="8">
        <v>2404</v>
      </c>
      <c r="F362" s="9">
        <v>930.19</v>
      </c>
      <c r="G362" s="6">
        <v>45391</v>
      </c>
      <c r="H362" s="6">
        <v>45395</v>
      </c>
      <c r="I362" s="7" t="s">
        <v>30</v>
      </c>
      <c r="J362" s="7" t="s">
        <v>26</v>
      </c>
      <c r="K362" s="7" t="s">
        <v>27</v>
      </c>
      <c r="M362" s="13">
        <f t="shared" si="25"/>
        <v>4</v>
      </c>
      <c r="N362" s="14"/>
      <c r="O362" s="15">
        <f t="shared" si="26"/>
        <v>0.386934276206323</v>
      </c>
      <c r="P362" s="16"/>
      <c r="Q362" s="14">
        <f t="shared" si="27"/>
        <v>2</v>
      </c>
      <c r="R362" s="14"/>
      <c r="S362" s="14"/>
      <c r="T362" s="13" t="str">
        <f t="shared" si="28"/>
        <v>On-Time</v>
      </c>
      <c r="U362" s="14"/>
      <c r="V362" s="13" t="str">
        <f t="shared" si="29"/>
        <v>Low Quantity</v>
      </c>
      <c r="W362" s="16"/>
    </row>
    <row r="363" spans="1:23">
      <c r="A363" s="5" t="s">
        <v>422</v>
      </c>
      <c r="B363" s="6">
        <v>45300</v>
      </c>
      <c r="C363" s="7" t="s">
        <v>87</v>
      </c>
      <c r="D363" s="7" t="s">
        <v>81</v>
      </c>
      <c r="E363" s="8">
        <v>4960</v>
      </c>
      <c r="F363" s="9">
        <v>2527.77</v>
      </c>
      <c r="G363" s="6">
        <v>45301</v>
      </c>
      <c r="H363" s="6">
        <v>45306</v>
      </c>
      <c r="I363" s="7" t="s">
        <v>35</v>
      </c>
      <c r="J363" s="7" t="s">
        <v>26</v>
      </c>
      <c r="K363" s="7" t="s">
        <v>27</v>
      </c>
      <c r="M363" s="13">
        <f t="shared" si="25"/>
        <v>5</v>
      </c>
      <c r="N363" s="14"/>
      <c r="O363" s="15">
        <f t="shared" si="26"/>
        <v>0.509631048387097</v>
      </c>
      <c r="P363" s="16"/>
      <c r="Q363" s="14">
        <f t="shared" si="27"/>
        <v>1</v>
      </c>
      <c r="R363" s="14"/>
      <c r="S363" s="14"/>
      <c r="T363" s="13" t="str">
        <f t="shared" si="28"/>
        <v>On-Time</v>
      </c>
      <c r="U363" s="14"/>
      <c r="V363" s="13" t="str">
        <f t="shared" si="29"/>
        <v>High Quantity</v>
      </c>
      <c r="W363" s="16"/>
    </row>
    <row r="364" spans="1:23">
      <c r="A364" s="5" t="s">
        <v>423</v>
      </c>
      <c r="B364" s="6">
        <v>45382</v>
      </c>
      <c r="C364" s="7" t="s">
        <v>29</v>
      </c>
      <c r="D364" s="7" t="s">
        <v>41</v>
      </c>
      <c r="E364" s="5">
        <v>475</v>
      </c>
      <c r="F364" s="9">
        <v>7756.68</v>
      </c>
      <c r="G364" s="6">
        <v>45384</v>
      </c>
      <c r="H364" s="6">
        <v>45391</v>
      </c>
      <c r="I364" s="7" t="s">
        <v>19</v>
      </c>
      <c r="J364" s="7" t="s">
        <v>44</v>
      </c>
      <c r="K364" s="7" t="s">
        <v>27</v>
      </c>
      <c r="M364" s="13">
        <f t="shared" si="25"/>
        <v>7</v>
      </c>
      <c r="N364" s="14"/>
      <c r="O364" s="15">
        <f t="shared" si="26"/>
        <v>16.3298526315789</v>
      </c>
      <c r="P364" s="16"/>
      <c r="Q364" s="14">
        <f t="shared" si="27"/>
        <v>2</v>
      </c>
      <c r="R364" s="14"/>
      <c r="S364" s="14"/>
      <c r="T364" s="13" t="str">
        <f t="shared" si="28"/>
        <v>On-Time</v>
      </c>
      <c r="U364" s="14"/>
      <c r="V364" s="13" t="str">
        <f t="shared" si="29"/>
        <v>Low Quantity</v>
      </c>
      <c r="W364" s="16"/>
    </row>
    <row r="365" spans="1:23">
      <c r="A365" s="5" t="s">
        <v>424</v>
      </c>
      <c r="B365" s="6">
        <v>45657</v>
      </c>
      <c r="C365" s="7" t="s">
        <v>87</v>
      </c>
      <c r="D365" s="7" t="s">
        <v>100</v>
      </c>
      <c r="E365" s="8">
        <v>3607</v>
      </c>
      <c r="F365" s="9">
        <v>3468.11</v>
      </c>
      <c r="G365" s="6">
        <v>45658</v>
      </c>
      <c r="H365" s="6">
        <v>45663</v>
      </c>
      <c r="I365" s="7" t="s">
        <v>30</v>
      </c>
      <c r="J365" s="7" t="s">
        <v>44</v>
      </c>
      <c r="K365" s="7" t="s">
        <v>27</v>
      </c>
      <c r="M365" s="13">
        <f t="shared" si="25"/>
        <v>5</v>
      </c>
      <c r="N365" s="14"/>
      <c r="O365" s="15">
        <f t="shared" si="26"/>
        <v>0.961494316606598</v>
      </c>
      <c r="P365" s="16"/>
      <c r="Q365" s="14">
        <f t="shared" si="27"/>
        <v>1</v>
      </c>
      <c r="R365" s="14"/>
      <c r="S365" s="14"/>
      <c r="T365" s="13" t="str">
        <f t="shared" si="28"/>
        <v>On-Time</v>
      </c>
      <c r="U365" s="14"/>
      <c r="V365" s="13" t="str">
        <f t="shared" si="29"/>
        <v>High Quantity</v>
      </c>
      <c r="W365" s="16"/>
    </row>
    <row r="366" spans="1:23">
      <c r="A366" s="5" t="s">
        <v>425</v>
      </c>
      <c r="B366" s="6">
        <v>45817</v>
      </c>
      <c r="C366" s="7" t="s">
        <v>94</v>
      </c>
      <c r="D366" s="7" t="s">
        <v>34</v>
      </c>
      <c r="E366" s="5">
        <v>78</v>
      </c>
      <c r="F366" s="9">
        <v>47280.88</v>
      </c>
      <c r="G366" s="6">
        <v>45820</v>
      </c>
      <c r="H366" s="6">
        <v>45822</v>
      </c>
      <c r="I366" s="7" t="s">
        <v>49</v>
      </c>
      <c r="J366" s="7" t="s">
        <v>59</v>
      </c>
      <c r="K366" s="7" t="s">
        <v>27</v>
      </c>
      <c r="M366" s="13">
        <f t="shared" si="25"/>
        <v>2</v>
      </c>
      <c r="N366" s="14"/>
      <c r="O366" s="15">
        <f t="shared" si="26"/>
        <v>606.165128205128</v>
      </c>
      <c r="P366" s="16"/>
      <c r="Q366" s="14">
        <f t="shared" si="27"/>
        <v>3</v>
      </c>
      <c r="R366" s="14"/>
      <c r="S366" s="14"/>
      <c r="T366" s="13" t="str">
        <f t="shared" si="28"/>
        <v>On-Time</v>
      </c>
      <c r="U366" s="14"/>
      <c r="V366" s="13" t="str">
        <f t="shared" si="29"/>
        <v>Low Quantity</v>
      </c>
      <c r="W366" s="16"/>
    </row>
    <row r="367" spans="1:23">
      <c r="A367" s="5" t="s">
        <v>426</v>
      </c>
      <c r="B367" s="6">
        <v>45554</v>
      </c>
      <c r="C367" s="7" t="s">
        <v>92</v>
      </c>
      <c r="D367" s="7" t="s">
        <v>46</v>
      </c>
      <c r="E367" s="5">
        <v>228</v>
      </c>
      <c r="F367" s="9">
        <v>5953.33</v>
      </c>
      <c r="G367" s="6">
        <v>45556</v>
      </c>
      <c r="H367" s="6">
        <v>45558</v>
      </c>
      <c r="I367" s="7" t="s">
        <v>30</v>
      </c>
      <c r="J367" s="7" t="s">
        <v>26</v>
      </c>
      <c r="K367" s="7" t="s">
        <v>27</v>
      </c>
      <c r="M367" s="13">
        <f t="shared" si="25"/>
        <v>2</v>
      </c>
      <c r="N367" s="14"/>
      <c r="O367" s="15">
        <f t="shared" si="26"/>
        <v>26.1110964912281</v>
      </c>
      <c r="P367" s="16"/>
      <c r="Q367" s="14">
        <f t="shared" si="27"/>
        <v>2</v>
      </c>
      <c r="R367" s="14"/>
      <c r="S367" s="14"/>
      <c r="T367" s="13" t="str">
        <f t="shared" si="28"/>
        <v>On-Time</v>
      </c>
      <c r="U367" s="14"/>
      <c r="V367" s="13" t="str">
        <f t="shared" si="29"/>
        <v>Low Quantity</v>
      </c>
      <c r="W367" s="16"/>
    </row>
    <row r="368" spans="1:23">
      <c r="A368" s="5" t="s">
        <v>427</v>
      </c>
      <c r="B368" s="6">
        <v>45366</v>
      </c>
      <c r="C368" s="7" t="s">
        <v>68</v>
      </c>
      <c r="D368" s="7" t="s">
        <v>81</v>
      </c>
      <c r="E368" s="8">
        <v>1992</v>
      </c>
      <c r="F368" s="9">
        <v>1072.43</v>
      </c>
      <c r="G368" s="6">
        <v>45368</v>
      </c>
      <c r="H368" s="6">
        <v>45373</v>
      </c>
      <c r="I368" s="7" t="s">
        <v>49</v>
      </c>
      <c r="J368" s="7" t="s">
        <v>26</v>
      </c>
      <c r="K368" s="7" t="s">
        <v>27</v>
      </c>
      <c r="M368" s="13">
        <f t="shared" si="25"/>
        <v>5</v>
      </c>
      <c r="N368" s="14"/>
      <c r="O368" s="15">
        <f t="shared" si="26"/>
        <v>0.538368473895582</v>
      </c>
      <c r="P368" s="16"/>
      <c r="Q368" s="14">
        <f t="shared" si="27"/>
        <v>2</v>
      </c>
      <c r="R368" s="14"/>
      <c r="S368" s="14"/>
      <c r="T368" s="13" t="str">
        <f t="shared" si="28"/>
        <v>On-Time</v>
      </c>
      <c r="U368" s="14"/>
      <c r="V368" s="13" t="str">
        <f t="shared" si="29"/>
        <v>Low Quantity</v>
      </c>
      <c r="W368" s="16"/>
    </row>
    <row r="369" spans="1:23">
      <c r="A369" s="5" t="s">
        <v>428</v>
      </c>
      <c r="B369" s="6">
        <v>45809</v>
      </c>
      <c r="C369" s="7" t="s">
        <v>29</v>
      </c>
      <c r="D369" s="7" t="s">
        <v>18</v>
      </c>
      <c r="E369" s="8">
        <v>3046</v>
      </c>
      <c r="F369" s="9">
        <v>7786.9</v>
      </c>
      <c r="G369" s="6">
        <v>45811</v>
      </c>
      <c r="H369" s="6">
        <v>45825</v>
      </c>
      <c r="I369" s="7" t="s">
        <v>19</v>
      </c>
      <c r="J369" s="7" t="s">
        <v>44</v>
      </c>
      <c r="K369" s="7" t="s">
        <v>21</v>
      </c>
      <c r="M369" s="13">
        <f t="shared" si="25"/>
        <v>14</v>
      </c>
      <c r="N369" s="14"/>
      <c r="O369" s="15">
        <f t="shared" si="26"/>
        <v>2.5564346684176</v>
      </c>
      <c r="P369" s="16"/>
      <c r="Q369" s="14">
        <f t="shared" si="27"/>
        <v>2</v>
      </c>
      <c r="R369" s="14"/>
      <c r="S369" s="14"/>
      <c r="T369" s="13" t="str">
        <f t="shared" si="28"/>
        <v>Delayed</v>
      </c>
      <c r="U369" s="14"/>
      <c r="V369" s="13" t="str">
        <f t="shared" si="29"/>
        <v>High Quantity</v>
      </c>
      <c r="W369" s="16"/>
    </row>
    <row r="370" spans="1:23">
      <c r="A370" s="5" t="s">
        <v>429</v>
      </c>
      <c r="B370" s="6">
        <v>45793</v>
      </c>
      <c r="C370" s="7" t="s">
        <v>87</v>
      </c>
      <c r="D370" s="7" t="s">
        <v>77</v>
      </c>
      <c r="E370" s="8">
        <v>1354</v>
      </c>
      <c r="F370" s="9">
        <v>7569.6</v>
      </c>
      <c r="G370" s="6">
        <v>45794</v>
      </c>
      <c r="H370" s="6">
        <v>45802</v>
      </c>
      <c r="I370" s="7" t="s">
        <v>30</v>
      </c>
      <c r="J370" s="7" t="s">
        <v>26</v>
      </c>
      <c r="K370" s="7" t="s">
        <v>27</v>
      </c>
      <c r="M370" s="13">
        <f t="shared" si="25"/>
        <v>8</v>
      </c>
      <c r="N370" s="14"/>
      <c r="O370" s="15">
        <f t="shared" si="26"/>
        <v>5.59054652880355</v>
      </c>
      <c r="P370" s="16"/>
      <c r="Q370" s="14">
        <f t="shared" si="27"/>
        <v>1</v>
      </c>
      <c r="R370" s="14"/>
      <c r="S370" s="14"/>
      <c r="T370" s="13" t="str">
        <f t="shared" si="28"/>
        <v>On-Time</v>
      </c>
      <c r="U370" s="14"/>
      <c r="V370" s="13" t="str">
        <f t="shared" si="29"/>
        <v>Low Quantity</v>
      </c>
      <c r="W370" s="16"/>
    </row>
    <row r="371" spans="1:23">
      <c r="A371" s="5" t="s">
        <v>430</v>
      </c>
      <c r="B371" s="6">
        <v>45370</v>
      </c>
      <c r="C371" s="7" t="s">
        <v>33</v>
      </c>
      <c r="D371" s="7" t="s">
        <v>51</v>
      </c>
      <c r="E371" s="8">
        <v>1755</v>
      </c>
      <c r="F371" s="9">
        <v>2859.96</v>
      </c>
      <c r="G371" s="6">
        <v>45372</v>
      </c>
      <c r="H371" s="6">
        <v>45380</v>
      </c>
      <c r="I371" s="7" t="s">
        <v>30</v>
      </c>
      <c r="J371" s="7" t="s">
        <v>44</v>
      </c>
      <c r="K371" s="7" t="s">
        <v>27</v>
      </c>
      <c r="M371" s="13">
        <f t="shared" si="25"/>
        <v>8</v>
      </c>
      <c r="N371" s="14"/>
      <c r="O371" s="15">
        <f t="shared" si="26"/>
        <v>1.62960683760684</v>
      </c>
      <c r="P371" s="16"/>
      <c r="Q371" s="14">
        <f t="shared" si="27"/>
        <v>2</v>
      </c>
      <c r="R371" s="14"/>
      <c r="S371" s="14"/>
      <c r="T371" s="13" t="str">
        <f t="shared" si="28"/>
        <v>On-Time</v>
      </c>
      <c r="U371" s="14"/>
      <c r="V371" s="13" t="str">
        <f t="shared" si="29"/>
        <v>Low Quantity</v>
      </c>
      <c r="W371" s="16"/>
    </row>
    <row r="372" spans="1:23">
      <c r="A372" s="5" t="s">
        <v>431</v>
      </c>
      <c r="B372" s="6">
        <v>45586</v>
      </c>
      <c r="C372" s="7" t="s">
        <v>76</v>
      </c>
      <c r="D372" s="7" t="s">
        <v>41</v>
      </c>
      <c r="E372" s="5">
        <v>944</v>
      </c>
      <c r="F372" s="9">
        <v>6175.1</v>
      </c>
      <c r="G372" s="6">
        <v>45587</v>
      </c>
      <c r="H372" s="6">
        <v>45594</v>
      </c>
      <c r="I372" s="7" t="s">
        <v>35</v>
      </c>
      <c r="J372" s="7" t="s">
        <v>26</v>
      </c>
      <c r="K372" s="7" t="s">
        <v>27</v>
      </c>
      <c r="M372" s="13">
        <f t="shared" si="25"/>
        <v>7</v>
      </c>
      <c r="N372" s="14"/>
      <c r="O372" s="15">
        <f t="shared" si="26"/>
        <v>6.54141949152542</v>
      </c>
      <c r="P372" s="16"/>
      <c r="Q372" s="14">
        <f t="shared" si="27"/>
        <v>1</v>
      </c>
      <c r="R372" s="14"/>
      <c r="S372" s="14"/>
      <c r="T372" s="13" t="str">
        <f t="shared" si="28"/>
        <v>On-Time</v>
      </c>
      <c r="U372" s="14"/>
      <c r="V372" s="13" t="str">
        <f t="shared" si="29"/>
        <v>Low Quantity</v>
      </c>
      <c r="W372" s="16"/>
    </row>
    <row r="373" spans="1:23">
      <c r="A373" s="5" t="s">
        <v>432</v>
      </c>
      <c r="B373" s="6">
        <v>45707</v>
      </c>
      <c r="C373" s="7" t="s">
        <v>29</v>
      </c>
      <c r="D373" s="7" t="s">
        <v>77</v>
      </c>
      <c r="E373" s="8">
        <v>3800</v>
      </c>
      <c r="F373" s="9">
        <v>12888.89</v>
      </c>
      <c r="G373" s="6">
        <v>45710</v>
      </c>
      <c r="H373" s="6">
        <v>45712</v>
      </c>
      <c r="I373" s="7" t="s">
        <v>30</v>
      </c>
      <c r="J373" s="7" t="s">
        <v>59</v>
      </c>
      <c r="K373" s="7" t="s">
        <v>27</v>
      </c>
      <c r="M373" s="13">
        <f t="shared" si="25"/>
        <v>2</v>
      </c>
      <c r="N373" s="14"/>
      <c r="O373" s="15">
        <f t="shared" si="26"/>
        <v>3.39181315789474</v>
      </c>
      <c r="P373" s="16"/>
      <c r="Q373" s="14">
        <f t="shared" si="27"/>
        <v>3</v>
      </c>
      <c r="R373" s="14"/>
      <c r="S373" s="14"/>
      <c r="T373" s="13" t="str">
        <f t="shared" si="28"/>
        <v>On-Time</v>
      </c>
      <c r="U373" s="14"/>
      <c r="V373" s="13" t="str">
        <f t="shared" si="29"/>
        <v>High Quantity</v>
      </c>
      <c r="W373" s="16"/>
    </row>
    <row r="374" spans="1:23">
      <c r="A374" s="5" t="s">
        <v>433</v>
      </c>
      <c r="B374" s="6">
        <v>45886</v>
      </c>
      <c r="C374" s="7" t="s">
        <v>24</v>
      </c>
      <c r="D374" s="7" t="s">
        <v>51</v>
      </c>
      <c r="E374" s="8">
        <v>3430</v>
      </c>
      <c r="F374" s="9">
        <v>8275.3</v>
      </c>
      <c r="G374" s="6">
        <v>45888</v>
      </c>
      <c r="H374" s="6">
        <v>45898</v>
      </c>
      <c r="I374" s="7" t="s">
        <v>19</v>
      </c>
      <c r="J374" s="7" t="s">
        <v>26</v>
      </c>
      <c r="K374" s="7" t="s">
        <v>21</v>
      </c>
      <c r="M374" s="13">
        <f t="shared" si="25"/>
        <v>10</v>
      </c>
      <c r="N374" s="14"/>
      <c r="O374" s="15">
        <f t="shared" si="26"/>
        <v>2.41262390670554</v>
      </c>
      <c r="P374" s="16"/>
      <c r="Q374" s="14">
        <f t="shared" si="27"/>
        <v>2</v>
      </c>
      <c r="R374" s="14"/>
      <c r="S374" s="14"/>
      <c r="T374" s="13" t="str">
        <f t="shared" si="28"/>
        <v>Delayed</v>
      </c>
      <c r="U374" s="14"/>
      <c r="V374" s="13" t="str">
        <f t="shared" si="29"/>
        <v>High Quantity</v>
      </c>
      <c r="W374" s="16"/>
    </row>
    <row r="375" spans="1:23">
      <c r="A375" s="5" t="s">
        <v>434</v>
      </c>
      <c r="B375" s="6">
        <v>45698</v>
      </c>
      <c r="C375" s="7" t="s">
        <v>17</v>
      </c>
      <c r="D375" s="7" t="s">
        <v>81</v>
      </c>
      <c r="E375" s="5">
        <v>629</v>
      </c>
      <c r="F375" s="9">
        <v>544.41</v>
      </c>
      <c r="G375" s="6">
        <v>45701</v>
      </c>
      <c r="H375" s="6">
        <v>45711</v>
      </c>
      <c r="I375" s="7" t="s">
        <v>30</v>
      </c>
      <c r="J375" s="7" t="s">
        <v>26</v>
      </c>
      <c r="K375" s="7" t="s">
        <v>21</v>
      </c>
      <c r="M375" s="13">
        <f t="shared" si="25"/>
        <v>10</v>
      </c>
      <c r="N375" s="14"/>
      <c r="O375" s="15">
        <f t="shared" si="26"/>
        <v>0.865516693163752</v>
      </c>
      <c r="P375" s="16"/>
      <c r="Q375" s="14">
        <f t="shared" si="27"/>
        <v>3</v>
      </c>
      <c r="R375" s="14"/>
      <c r="S375" s="14"/>
      <c r="T375" s="13" t="str">
        <f t="shared" si="28"/>
        <v>Delayed</v>
      </c>
      <c r="U375" s="14"/>
      <c r="V375" s="13" t="str">
        <f t="shared" si="29"/>
        <v>Low Quantity</v>
      </c>
      <c r="W375" s="16"/>
    </row>
    <row r="376" spans="1:23">
      <c r="A376" s="5" t="s">
        <v>435</v>
      </c>
      <c r="B376" s="6">
        <v>45973</v>
      </c>
      <c r="C376" s="7" t="s">
        <v>92</v>
      </c>
      <c r="D376" s="7" t="s">
        <v>34</v>
      </c>
      <c r="E376" s="8">
        <v>3754</v>
      </c>
      <c r="F376" s="9">
        <v>46117.77</v>
      </c>
      <c r="G376" s="6">
        <v>45976</v>
      </c>
      <c r="H376" s="6">
        <v>45980</v>
      </c>
      <c r="I376" s="7" t="s">
        <v>30</v>
      </c>
      <c r="J376" s="7" t="s">
        <v>26</v>
      </c>
      <c r="K376" s="7" t="s">
        <v>27</v>
      </c>
      <c r="M376" s="13">
        <f t="shared" si="25"/>
        <v>4</v>
      </c>
      <c r="N376" s="14"/>
      <c r="O376" s="15">
        <f t="shared" si="26"/>
        <v>12.284968034097</v>
      </c>
      <c r="P376" s="16"/>
      <c r="Q376" s="14">
        <f t="shared" si="27"/>
        <v>3</v>
      </c>
      <c r="R376" s="14"/>
      <c r="S376" s="14"/>
      <c r="T376" s="13" t="str">
        <f t="shared" si="28"/>
        <v>On-Time</v>
      </c>
      <c r="U376" s="14"/>
      <c r="V376" s="13" t="str">
        <f t="shared" si="29"/>
        <v>High Quantity</v>
      </c>
      <c r="W376" s="16"/>
    </row>
    <row r="377" spans="1:23">
      <c r="A377" s="5" t="s">
        <v>436</v>
      </c>
      <c r="B377" s="6">
        <v>45745</v>
      </c>
      <c r="C377" s="7" t="s">
        <v>54</v>
      </c>
      <c r="D377" s="7" t="s">
        <v>34</v>
      </c>
      <c r="E377" s="8">
        <v>3135</v>
      </c>
      <c r="F377" s="9">
        <v>2261.17</v>
      </c>
      <c r="G377" s="6">
        <v>45748</v>
      </c>
      <c r="H377" s="6">
        <v>45757</v>
      </c>
      <c r="I377" s="7" t="s">
        <v>49</v>
      </c>
      <c r="J377" s="7" t="s">
        <v>26</v>
      </c>
      <c r="K377" s="7" t="s">
        <v>21</v>
      </c>
      <c r="M377" s="13">
        <f t="shared" si="25"/>
        <v>9</v>
      </c>
      <c r="N377" s="14"/>
      <c r="O377" s="15">
        <f t="shared" si="26"/>
        <v>0.7212663476874</v>
      </c>
      <c r="P377" s="16"/>
      <c r="Q377" s="14">
        <f t="shared" si="27"/>
        <v>3</v>
      </c>
      <c r="R377" s="14"/>
      <c r="S377" s="14"/>
      <c r="T377" s="13" t="str">
        <f t="shared" si="28"/>
        <v>Delayed</v>
      </c>
      <c r="U377" s="14"/>
      <c r="V377" s="13" t="str">
        <f t="shared" si="29"/>
        <v>High Quantity</v>
      </c>
      <c r="W377" s="16"/>
    </row>
    <row r="378" spans="1:23">
      <c r="A378" s="5" t="s">
        <v>437</v>
      </c>
      <c r="B378" s="6">
        <v>45577</v>
      </c>
      <c r="C378" s="7" t="s">
        <v>87</v>
      </c>
      <c r="D378" s="7" t="s">
        <v>39</v>
      </c>
      <c r="E378" s="8">
        <v>1397</v>
      </c>
      <c r="F378" s="9">
        <v>4747.26</v>
      </c>
      <c r="G378" s="6">
        <v>45578</v>
      </c>
      <c r="H378" s="6">
        <v>45581</v>
      </c>
      <c r="I378" s="7" t="s">
        <v>30</v>
      </c>
      <c r="J378" s="7" t="s">
        <v>26</v>
      </c>
      <c r="K378" s="7" t="s">
        <v>27</v>
      </c>
      <c r="M378" s="13">
        <f t="shared" si="25"/>
        <v>3</v>
      </c>
      <c r="N378" s="14"/>
      <c r="O378" s="15">
        <f t="shared" si="26"/>
        <v>3.39818181818182</v>
      </c>
      <c r="P378" s="16"/>
      <c r="Q378" s="14">
        <f t="shared" si="27"/>
        <v>1</v>
      </c>
      <c r="R378" s="14"/>
      <c r="S378" s="14"/>
      <c r="T378" s="13" t="str">
        <f t="shared" si="28"/>
        <v>On-Time</v>
      </c>
      <c r="U378" s="14"/>
      <c r="V378" s="13" t="str">
        <f t="shared" si="29"/>
        <v>Low Quantity</v>
      </c>
      <c r="W378" s="16"/>
    </row>
    <row r="379" spans="1:23">
      <c r="A379" s="5" t="s">
        <v>438</v>
      </c>
      <c r="B379" s="6">
        <v>45910</v>
      </c>
      <c r="C379" s="7" t="s">
        <v>94</v>
      </c>
      <c r="D379" s="7" t="s">
        <v>39</v>
      </c>
      <c r="E379" s="8">
        <v>2207</v>
      </c>
      <c r="F379" s="9">
        <v>4706.48</v>
      </c>
      <c r="G379" s="6">
        <v>45913</v>
      </c>
      <c r="H379" s="6">
        <v>45920</v>
      </c>
      <c r="I379" s="7" t="s">
        <v>19</v>
      </c>
      <c r="J379" s="7" t="s">
        <v>26</v>
      </c>
      <c r="K379" s="7" t="s">
        <v>27</v>
      </c>
      <c r="M379" s="13">
        <f t="shared" si="25"/>
        <v>7</v>
      </c>
      <c r="N379" s="14"/>
      <c r="O379" s="15">
        <f t="shared" si="26"/>
        <v>2.13252378794744</v>
      </c>
      <c r="P379" s="16"/>
      <c r="Q379" s="14">
        <f t="shared" si="27"/>
        <v>3</v>
      </c>
      <c r="R379" s="14"/>
      <c r="S379" s="14"/>
      <c r="T379" s="13" t="str">
        <f t="shared" si="28"/>
        <v>On-Time</v>
      </c>
      <c r="U379" s="14"/>
      <c r="V379" s="13" t="str">
        <f t="shared" si="29"/>
        <v>Low Quantity</v>
      </c>
      <c r="W379" s="16"/>
    </row>
    <row r="380" spans="1:23">
      <c r="A380" s="5" t="s">
        <v>439</v>
      </c>
      <c r="B380" s="6">
        <v>45778</v>
      </c>
      <c r="C380" s="7" t="s">
        <v>94</v>
      </c>
      <c r="D380" s="7" t="s">
        <v>18</v>
      </c>
      <c r="E380" s="8">
        <v>4666</v>
      </c>
      <c r="F380" s="9">
        <v>3070.27</v>
      </c>
      <c r="G380" s="6">
        <v>45781</v>
      </c>
      <c r="H380" s="6">
        <v>45782</v>
      </c>
      <c r="I380" s="7" t="s">
        <v>49</v>
      </c>
      <c r="J380" s="7" t="s">
        <v>59</v>
      </c>
      <c r="K380" s="7" t="s">
        <v>27</v>
      </c>
      <c r="M380" s="13">
        <f t="shared" si="25"/>
        <v>1</v>
      </c>
      <c r="N380" s="14"/>
      <c r="O380" s="15">
        <f t="shared" si="26"/>
        <v>0.658009001285898</v>
      </c>
      <c r="P380" s="16"/>
      <c r="Q380" s="14">
        <f t="shared" si="27"/>
        <v>3</v>
      </c>
      <c r="R380" s="14"/>
      <c r="S380" s="14"/>
      <c r="T380" s="13" t="str">
        <f t="shared" si="28"/>
        <v>On-Time</v>
      </c>
      <c r="U380" s="14"/>
      <c r="V380" s="13" t="str">
        <f t="shared" si="29"/>
        <v>High Quantity</v>
      </c>
      <c r="W380" s="16"/>
    </row>
    <row r="381" spans="1:23">
      <c r="A381" s="5" t="s">
        <v>440</v>
      </c>
      <c r="B381" s="6">
        <v>45985</v>
      </c>
      <c r="C381" s="7" t="s">
        <v>68</v>
      </c>
      <c r="D381" s="7" t="s">
        <v>34</v>
      </c>
      <c r="E381" s="8">
        <v>1455</v>
      </c>
      <c r="F381" s="9">
        <v>12385.86</v>
      </c>
      <c r="G381" s="6">
        <v>45988</v>
      </c>
      <c r="H381" s="6">
        <v>45995</v>
      </c>
      <c r="I381" s="7" t="s">
        <v>19</v>
      </c>
      <c r="J381" s="7" t="s">
        <v>26</v>
      </c>
      <c r="K381" s="7" t="s">
        <v>27</v>
      </c>
      <c r="M381" s="13">
        <f t="shared" si="25"/>
        <v>7</v>
      </c>
      <c r="N381" s="14"/>
      <c r="O381" s="15">
        <f t="shared" si="26"/>
        <v>8.51261855670103</v>
      </c>
      <c r="P381" s="16"/>
      <c r="Q381" s="14">
        <f t="shared" si="27"/>
        <v>3</v>
      </c>
      <c r="R381" s="14"/>
      <c r="S381" s="14"/>
      <c r="T381" s="13" t="str">
        <f t="shared" si="28"/>
        <v>On-Time</v>
      </c>
      <c r="U381" s="14"/>
      <c r="V381" s="13" t="str">
        <f t="shared" si="29"/>
        <v>Low Quantity</v>
      </c>
      <c r="W381" s="16"/>
    </row>
    <row r="382" spans="1:23">
      <c r="A382" s="5" t="s">
        <v>441</v>
      </c>
      <c r="B382" s="6">
        <v>45961</v>
      </c>
      <c r="C382" s="7" t="s">
        <v>38</v>
      </c>
      <c r="D382" s="7" t="s">
        <v>46</v>
      </c>
      <c r="E382" s="8">
        <v>4319</v>
      </c>
      <c r="F382" s="9">
        <v>2055.68</v>
      </c>
      <c r="G382" s="6">
        <v>45963</v>
      </c>
      <c r="H382" s="6">
        <v>45967</v>
      </c>
      <c r="I382" s="7" t="s">
        <v>19</v>
      </c>
      <c r="J382" s="7" t="s">
        <v>26</v>
      </c>
      <c r="K382" s="7" t="s">
        <v>27</v>
      </c>
      <c r="M382" s="13">
        <f t="shared" si="25"/>
        <v>4</v>
      </c>
      <c r="N382" s="14"/>
      <c r="O382" s="15">
        <f t="shared" si="26"/>
        <v>0.475962028247279</v>
      </c>
      <c r="P382" s="16"/>
      <c r="Q382" s="14">
        <f t="shared" si="27"/>
        <v>2</v>
      </c>
      <c r="R382" s="14"/>
      <c r="S382" s="14"/>
      <c r="T382" s="13" t="str">
        <f t="shared" si="28"/>
        <v>On-Time</v>
      </c>
      <c r="U382" s="14"/>
      <c r="V382" s="13" t="str">
        <f t="shared" si="29"/>
        <v>High Quantity</v>
      </c>
      <c r="W382" s="16"/>
    </row>
    <row r="383" spans="1:23">
      <c r="A383" s="5" t="s">
        <v>442</v>
      </c>
      <c r="B383" s="6">
        <v>45331</v>
      </c>
      <c r="C383" s="7" t="s">
        <v>94</v>
      </c>
      <c r="D383" s="7" t="s">
        <v>39</v>
      </c>
      <c r="E383" s="8">
        <v>4663</v>
      </c>
      <c r="F383" s="9">
        <v>10001.27</v>
      </c>
      <c r="G383" s="6">
        <v>45332</v>
      </c>
      <c r="H383" s="6">
        <v>45335</v>
      </c>
      <c r="I383" s="7" t="s">
        <v>19</v>
      </c>
      <c r="J383" s="7" t="s">
        <v>26</v>
      </c>
      <c r="K383" s="7" t="s">
        <v>27</v>
      </c>
      <c r="M383" s="13">
        <f t="shared" si="25"/>
        <v>3</v>
      </c>
      <c r="N383" s="14"/>
      <c r="O383" s="15">
        <f t="shared" si="26"/>
        <v>2.14481449710487</v>
      </c>
      <c r="P383" s="16"/>
      <c r="Q383" s="14">
        <f t="shared" si="27"/>
        <v>1</v>
      </c>
      <c r="R383" s="14"/>
      <c r="S383" s="14"/>
      <c r="T383" s="13" t="str">
        <f t="shared" si="28"/>
        <v>On-Time</v>
      </c>
      <c r="U383" s="14"/>
      <c r="V383" s="13" t="str">
        <f t="shared" si="29"/>
        <v>High Quantity</v>
      </c>
      <c r="W383" s="16"/>
    </row>
    <row r="384" spans="1:23">
      <c r="A384" s="5" t="s">
        <v>443</v>
      </c>
      <c r="B384" s="6">
        <v>45728</v>
      </c>
      <c r="C384" s="7" t="s">
        <v>29</v>
      </c>
      <c r="D384" s="7" t="s">
        <v>18</v>
      </c>
      <c r="E384" s="8">
        <v>3239</v>
      </c>
      <c r="F384" s="9">
        <v>7781.57</v>
      </c>
      <c r="G384" s="6">
        <v>45731</v>
      </c>
      <c r="H384" s="6">
        <v>45737</v>
      </c>
      <c r="I384" s="7" t="s">
        <v>30</v>
      </c>
      <c r="J384" s="7" t="s">
        <v>26</v>
      </c>
      <c r="K384" s="7" t="s">
        <v>27</v>
      </c>
      <c r="M384" s="13">
        <f t="shared" si="25"/>
        <v>6</v>
      </c>
      <c r="N384" s="14"/>
      <c r="O384" s="15">
        <f t="shared" si="26"/>
        <v>2.40246063599876</v>
      </c>
      <c r="P384" s="16"/>
      <c r="Q384" s="14">
        <f t="shared" si="27"/>
        <v>3</v>
      </c>
      <c r="R384" s="14"/>
      <c r="S384" s="14"/>
      <c r="T384" s="13" t="str">
        <f t="shared" si="28"/>
        <v>On-Time</v>
      </c>
      <c r="U384" s="14"/>
      <c r="V384" s="13" t="str">
        <f t="shared" si="29"/>
        <v>High Quantity</v>
      </c>
      <c r="W384" s="16"/>
    </row>
    <row r="385" spans="1:23">
      <c r="A385" s="5" t="s">
        <v>444</v>
      </c>
      <c r="B385" s="6">
        <v>45772</v>
      </c>
      <c r="C385" s="7" t="s">
        <v>17</v>
      </c>
      <c r="D385" s="7" t="s">
        <v>41</v>
      </c>
      <c r="E385" s="8">
        <v>3878</v>
      </c>
      <c r="F385" s="9">
        <v>23134</v>
      </c>
      <c r="G385" s="6">
        <v>45774</v>
      </c>
      <c r="H385" s="6">
        <v>45777</v>
      </c>
      <c r="I385" s="7" t="s">
        <v>19</v>
      </c>
      <c r="J385" s="7" t="s">
        <v>59</v>
      </c>
      <c r="K385" s="7" t="s">
        <v>27</v>
      </c>
      <c r="M385" s="13">
        <f t="shared" si="25"/>
        <v>3</v>
      </c>
      <c r="N385" s="14"/>
      <c r="O385" s="15">
        <f t="shared" si="26"/>
        <v>5.96544610624033</v>
      </c>
      <c r="P385" s="16"/>
      <c r="Q385" s="14">
        <f t="shared" si="27"/>
        <v>2</v>
      </c>
      <c r="R385" s="14"/>
      <c r="S385" s="14"/>
      <c r="T385" s="13" t="str">
        <f t="shared" si="28"/>
        <v>On-Time</v>
      </c>
      <c r="U385" s="14"/>
      <c r="V385" s="13" t="str">
        <f t="shared" si="29"/>
        <v>High Quantity</v>
      </c>
      <c r="W385" s="16"/>
    </row>
    <row r="386" spans="1:23">
      <c r="A386" s="5" t="s">
        <v>445</v>
      </c>
      <c r="B386" s="6">
        <v>45452</v>
      </c>
      <c r="C386" s="7" t="s">
        <v>58</v>
      </c>
      <c r="D386" s="7" t="s">
        <v>41</v>
      </c>
      <c r="E386" s="8">
        <v>2289</v>
      </c>
      <c r="F386" s="9">
        <v>5896.35</v>
      </c>
      <c r="G386" s="6">
        <v>45455</v>
      </c>
      <c r="H386" s="6">
        <v>45497</v>
      </c>
      <c r="I386" s="7" t="s">
        <v>49</v>
      </c>
      <c r="J386" s="7" t="s">
        <v>20</v>
      </c>
      <c r="K386" s="7" t="s">
        <v>21</v>
      </c>
      <c r="M386" s="13">
        <f t="shared" si="25"/>
        <v>42</v>
      </c>
      <c r="N386" s="14"/>
      <c r="O386" s="15">
        <f t="shared" si="26"/>
        <v>2.5759501965924</v>
      </c>
      <c r="P386" s="16"/>
      <c r="Q386" s="14">
        <f t="shared" si="27"/>
        <v>3</v>
      </c>
      <c r="R386" s="14"/>
      <c r="S386" s="14"/>
      <c r="T386" s="13" t="str">
        <f t="shared" si="28"/>
        <v>Delayed</v>
      </c>
      <c r="U386" s="14"/>
      <c r="V386" s="13" t="str">
        <f t="shared" si="29"/>
        <v>Low Quantity</v>
      </c>
      <c r="W386" s="16"/>
    </row>
    <row r="387" spans="1:23">
      <c r="A387" s="5" t="s">
        <v>446</v>
      </c>
      <c r="B387" s="6">
        <v>45652</v>
      </c>
      <c r="C387" s="7" t="s">
        <v>38</v>
      </c>
      <c r="D387" s="7" t="s">
        <v>25</v>
      </c>
      <c r="E387" s="8">
        <v>4118</v>
      </c>
      <c r="F387" s="9">
        <v>4282.41</v>
      </c>
      <c r="G387" s="6">
        <v>45655</v>
      </c>
      <c r="H387" s="6">
        <v>45663</v>
      </c>
      <c r="I387" s="7" t="s">
        <v>30</v>
      </c>
      <c r="J387" s="7" t="s">
        <v>26</v>
      </c>
      <c r="K387" s="7" t="s">
        <v>27</v>
      </c>
      <c r="M387" s="13">
        <f t="shared" ref="M387:M450" si="30">H387-G387</f>
        <v>8</v>
      </c>
      <c r="N387" s="14"/>
      <c r="O387" s="15">
        <f t="shared" ref="O387:O450" si="31">F387/E387</f>
        <v>1.03992472073822</v>
      </c>
      <c r="P387" s="16"/>
      <c r="Q387" s="14">
        <f t="shared" ref="Q387:Q450" si="32">G387-B387</f>
        <v>3</v>
      </c>
      <c r="R387" s="14"/>
      <c r="S387" s="14"/>
      <c r="T387" s="13" t="str">
        <f t="shared" ref="T387:T450" si="33">IF(K387="Yes","On-Time","Delayed")</f>
        <v>On-Time</v>
      </c>
      <c r="U387" s="14"/>
      <c r="V387" s="13" t="str">
        <f t="shared" ref="V387:V450" si="34">IF(E387&gt;=3000,"High Quantity","Low Quantity")</f>
        <v>High Quantity</v>
      </c>
      <c r="W387" s="16"/>
    </row>
    <row r="388" spans="1:23">
      <c r="A388" s="5" t="s">
        <v>447</v>
      </c>
      <c r="B388" s="6">
        <v>45350</v>
      </c>
      <c r="C388" s="7" t="s">
        <v>92</v>
      </c>
      <c r="D388" s="7" t="s">
        <v>100</v>
      </c>
      <c r="E388" s="5">
        <v>287</v>
      </c>
      <c r="F388" s="9">
        <v>2316.43</v>
      </c>
      <c r="G388" s="6">
        <v>45352</v>
      </c>
      <c r="H388" s="6">
        <v>45356</v>
      </c>
      <c r="I388" s="7" t="s">
        <v>49</v>
      </c>
      <c r="J388" s="7" t="s">
        <v>26</v>
      </c>
      <c r="K388" s="7" t="s">
        <v>27</v>
      </c>
      <c r="M388" s="13">
        <f t="shared" si="30"/>
        <v>4</v>
      </c>
      <c r="N388" s="14"/>
      <c r="O388" s="15">
        <f t="shared" si="31"/>
        <v>8.07118466898955</v>
      </c>
      <c r="P388" s="16"/>
      <c r="Q388" s="14">
        <f t="shared" si="32"/>
        <v>2</v>
      </c>
      <c r="R388" s="14"/>
      <c r="S388" s="14"/>
      <c r="T388" s="13" t="str">
        <f t="shared" si="33"/>
        <v>On-Time</v>
      </c>
      <c r="U388" s="14"/>
      <c r="V388" s="13" t="str">
        <f t="shared" si="34"/>
        <v>Low Quantity</v>
      </c>
      <c r="W388" s="16"/>
    </row>
    <row r="389" spans="1:23">
      <c r="A389" s="5" t="s">
        <v>448</v>
      </c>
      <c r="B389" s="6">
        <v>45642</v>
      </c>
      <c r="C389" s="7" t="s">
        <v>92</v>
      </c>
      <c r="D389" s="7" t="s">
        <v>18</v>
      </c>
      <c r="E389" s="8">
        <v>2754</v>
      </c>
      <c r="F389" s="9">
        <v>8058.31</v>
      </c>
      <c r="G389" s="6">
        <v>45643</v>
      </c>
      <c r="H389" s="6">
        <v>45647</v>
      </c>
      <c r="I389" s="7" t="s">
        <v>19</v>
      </c>
      <c r="J389" s="7" t="s">
        <v>26</v>
      </c>
      <c r="K389" s="7" t="s">
        <v>27</v>
      </c>
      <c r="M389" s="13">
        <f t="shared" si="30"/>
        <v>4</v>
      </c>
      <c r="N389" s="14"/>
      <c r="O389" s="15">
        <f t="shared" si="31"/>
        <v>2.92603848946986</v>
      </c>
      <c r="P389" s="16"/>
      <c r="Q389" s="14">
        <f t="shared" si="32"/>
        <v>1</v>
      </c>
      <c r="R389" s="14"/>
      <c r="S389" s="14"/>
      <c r="T389" s="13" t="str">
        <f t="shared" si="33"/>
        <v>On-Time</v>
      </c>
      <c r="U389" s="14"/>
      <c r="V389" s="13" t="str">
        <f t="shared" si="34"/>
        <v>Low Quantity</v>
      </c>
      <c r="W389" s="16"/>
    </row>
    <row r="390" spans="1:23">
      <c r="A390" s="5" t="s">
        <v>449</v>
      </c>
      <c r="B390" s="6">
        <v>45649</v>
      </c>
      <c r="C390" s="7" t="s">
        <v>68</v>
      </c>
      <c r="D390" s="7" t="s">
        <v>18</v>
      </c>
      <c r="E390" s="8">
        <v>3376</v>
      </c>
      <c r="F390" s="9">
        <v>2818.09</v>
      </c>
      <c r="G390" s="6">
        <v>45651</v>
      </c>
      <c r="H390" s="6">
        <v>45660</v>
      </c>
      <c r="I390" s="7" t="s">
        <v>49</v>
      </c>
      <c r="J390" s="7" t="s">
        <v>26</v>
      </c>
      <c r="K390" s="7" t="s">
        <v>21</v>
      </c>
      <c r="M390" s="13">
        <f t="shared" si="30"/>
        <v>9</v>
      </c>
      <c r="N390" s="14"/>
      <c r="O390" s="15">
        <f t="shared" si="31"/>
        <v>0.834742298578199</v>
      </c>
      <c r="P390" s="16"/>
      <c r="Q390" s="14">
        <f t="shared" si="32"/>
        <v>2</v>
      </c>
      <c r="R390" s="14"/>
      <c r="S390" s="14"/>
      <c r="T390" s="13" t="str">
        <f t="shared" si="33"/>
        <v>Delayed</v>
      </c>
      <c r="U390" s="14"/>
      <c r="V390" s="13" t="str">
        <f t="shared" si="34"/>
        <v>High Quantity</v>
      </c>
      <c r="W390" s="16"/>
    </row>
    <row r="391" spans="1:23">
      <c r="A391" s="5" t="s">
        <v>450</v>
      </c>
      <c r="B391" s="6">
        <v>45596</v>
      </c>
      <c r="C391" s="7" t="s">
        <v>17</v>
      </c>
      <c r="D391" s="7" t="s">
        <v>39</v>
      </c>
      <c r="E391" s="8">
        <v>2750</v>
      </c>
      <c r="F391" s="9">
        <v>1926.16</v>
      </c>
      <c r="G391" s="6">
        <v>45599</v>
      </c>
      <c r="H391" s="6">
        <v>45623</v>
      </c>
      <c r="I391" s="7" t="s">
        <v>19</v>
      </c>
      <c r="J391" s="7" t="s">
        <v>20</v>
      </c>
      <c r="K391" s="7" t="s">
        <v>27</v>
      </c>
      <c r="M391" s="13">
        <f t="shared" si="30"/>
        <v>24</v>
      </c>
      <c r="N391" s="14"/>
      <c r="O391" s="15">
        <f t="shared" si="31"/>
        <v>0.700421818181818</v>
      </c>
      <c r="P391" s="16"/>
      <c r="Q391" s="14">
        <f t="shared" si="32"/>
        <v>3</v>
      </c>
      <c r="R391" s="14"/>
      <c r="S391" s="14"/>
      <c r="T391" s="13" t="str">
        <f t="shared" si="33"/>
        <v>On-Time</v>
      </c>
      <c r="U391" s="14"/>
      <c r="V391" s="13" t="str">
        <f t="shared" si="34"/>
        <v>Low Quantity</v>
      </c>
      <c r="W391" s="16"/>
    </row>
    <row r="392" spans="1:23">
      <c r="A392" s="5" t="s">
        <v>451</v>
      </c>
      <c r="B392" s="6">
        <v>45791</v>
      </c>
      <c r="C392" s="7" t="s">
        <v>94</v>
      </c>
      <c r="D392" s="7" t="s">
        <v>51</v>
      </c>
      <c r="E392" s="8">
        <v>2008</v>
      </c>
      <c r="F392" s="9">
        <v>6774.51</v>
      </c>
      <c r="G392" s="6">
        <v>45792</v>
      </c>
      <c r="H392" s="6">
        <v>45797</v>
      </c>
      <c r="I392" s="7" t="s">
        <v>19</v>
      </c>
      <c r="J392" s="7" t="s">
        <v>26</v>
      </c>
      <c r="K392" s="7" t="s">
        <v>27</v>
      </c>
      <c r="M392" s="13">
        <f t="shared" si="30"/>
        <v>5</v>
      </c>
      <c r="N392" s="14"/>
      <c r="O392" s="15">
        <f t="shared" si="31"/>
        <v>3.37375996015936</v>
      </c>
      <c r="P392" s="16"/>
      <c r="Q392" s="14">
        <f t="shared" si="32"/>
        <v>1</v>
      </c>
      <c r="R392" s="14"/>
      <c r="S392" s="14"/>
      <c r="T392" s="13" t="str">
        <f t="shared" si="33"/>
        <v>On-Time</v>
      </c>
      <c r="U392" s="14"/>
      <c r="V392" s="13" t="str">
        <f t="shared" si="34"/>
        <v>Low Quantity</v>
      </c>
      <c r="W392" s="16"/>
    </row>
    <row r="393" spans="1:23">
      <c r="A393" s="5" t="s">
        <v>452</v>
      </c>
      <c r="B393" s="6">
        <v>45927</v>
      </c>
      <c r="C393" s="7" t="s">
        <v>79</v>
      </c>
      <c r="D393" s="7" t="s">
        <v>81</v>
      </c>
      <c r="E393" s="5">
        <v>457</v>
      </c>
      <c r="F393" s="9">
        <v>928.77</v>
      </c>
      <c r="G393" s="6">
        <v>45929</v>
      </c>
      <c r="H393" s="6">
        <v>45945</v>
      </c>
      <c r="I393" s="7" t="s">
        <v>19</v>
      </c>
      <c r="J393" s="7" t="s">
        <v>20</v>
      </c>
      <c r="K393" s="7" t="s">
        <v>27</v>
      </c>
      <c r="M393" s="13">
        <f t="shared" si="30"/>
        <v>16</v>
      </c>
      <c r="N393" s="14"/>
      <c r="O393" s="15">
        <f t="shared" si="31"/>
        <v>2.03231947483589</v>
      </c>
      <c r="P393" s="16"/>
      <c r="Q393" s="14">
        <f t="shared" si="32"/>
        <v>2</v>
      </c>
      <c r="R393" s="14"/>
      <c r="S393" s="14"/>
      <c r="T393" s="13" t="str">
        <f t="shared" si="33"/>
        <v>On-Time</v>
      </c>
      <c r="U393" s="14"/>
      <c r="V393" s="13" t="str">
        <f t="shared" si="34"/>
        <v>Low Quantity</v>
      </c>
      <c r="W393" s="16"/>
    </row>
    <row r="394" spans="1:23">
      <c r="A394" s="5" t="s">
        <v>453</v>
      </c>
      <c r="B394" s="6">
        <v>46020</v>
      </c>
      <c r="C394" s="7" t="s">
        <v>76</v>
      </c>
      <c r="D394" s="7" t="s">
        <v>18</v>
      </c>
      <c r="E394" s="8">
        <v>1122</v>
      </c>
      <c r="F394" s="9">
        <v>1631.68</v>
      </c>
      <c r="G394" s="6">
        <v>46022</v>
      </c>
      <c r="H394" s="6">
        <v>46028</v>
      </c>
      <c r="I394" s="7" t="s">
        <v>30</v>
      </c>
      <c r="J394" s="7" t="s">
        <v>44</v>
      </c>
      <c r="K394" s="7" t="s">
        <v>27</v>
      </c>
      <c r="M394" s="13">
        <f t="shared" si="30"/>
        <v>6</v>
      </c>
      <c r="N394" s="14"/>
      <c r="O394" s="15">
        <f t="shared" si="31"/>
        <v>1.45426024955437</v>
      </c>
      <c r="P394" s="16"/>
      <c r="Q394" s="14">
        <f t="shared" si="32"/>
        <v>2</v>
      </c>
      <c r="R394" s="14"/>
      <c r="S394" s="14"/>
      <c r="T394" s="13" t="str">
        <f t="shared" si="33"/>
        <v>On-Time</v>
      </c>
      <c r="U394" s="14"/>
      <c r="V394" s="13" t="str">
        <f t="shared" si="34"/>
        <v>Low Quantity</v>
      </c>
      <c r="W394" s="16"/>
    </row>
    <row r="395" spans="1:23">
      <c r="A395" s="5" t="s">
        <v>454</v>
      </c>
      <c r="B395" s="6">
        <v>45713</v>
      </c>
      <c r="C395" s="7" t="s">
        <v>56</v>
      </c>
      <c r="D395" s="7" t="s">
        <v>46</v>
      </c>
      <c r="E395" s="8">
        <v>2477</v>
      </c>
      <c r="F395" s="9">
        <v>6757.89</v>
      </c>
      <c r="G395" s="6">
        <v>45714</v>
      </c>
      <c r="H395" s="6">
        <v>45723</v>
      </c>
      <c r="I395" s="7" t="s">
        <v>19</v>
      </c>
      <c r="J395" s="7" t="s">
        <v>26</v>
      </c>
      <c r="K395" s="7" t="s">
        <v>21</v>
      </c>
      <c r="M395" s="13">
        <f t="shared" si="30"/>
        <v>9</v>
      </c>
      <c r="N395" s="14"/>
      <c r="O395" s="15">
        <f t="shared" si="31"/>
        <v>2.72825595478401</v>
      </c>
      <c r="P395" s="16"/>
      <c r="Q395" s="14">
        <f t="shared" si="32"/>
        <v>1</v>
      </c>
      <c r="R395" s="14"/>
      <c r="S395" s="14"/>
      <c r="T395" s="13" t="str">
        <f t="shared" si="33"/>
        <v>Delayed</v>
      </c>
      <c r="U395" s="14"/>
      <c r="V395" s="13" t="str">
        <f t="shared" si="34"/>
        <v>Low Quantity</v>
      </c>
      <c r="W395" s="16"/>
    </row>
    <row r="396" spans="1:23">
      <c r="A396" s="5" t="s">
        <v>455</v>
      </c>
      <c r="B396" s="6">
        <v>46007</v>
      </c>
      <c r="C396" s="7" t="s">
        <v>79</v>
      </c>
      <c r="D396" s="7" t="s">
        <v>77</v>
      </c>
      <c r="E396" s="8">
        <v>3345</v>
      </c>
      <c r="F396" s="9">
        <v>14725.75</v>
      </c>
      <c r="G396" s="6">
        <v>46009</v>
      </c>
      <c r="H396" s="6">
        <v>46014</v>
      </c>
      <c r="I396" s="7" t="s">
        <v>30</v>
      </c>
      <c r="J396" s="7" t="s">
        <v>26</v>
      </c>
      <c r="K396" s="7" t="s">
        <v>27</v>
      </c>
      <c r="M396" s="13">
        <f t="shared" si="30"/>
        <v>5</v>
      </c>
      <c r="N396" s="14"/>
      <c r="O396" s="15">
        <f t="shared" si="31"/>
        <v>4.40231689088191</v>
      </c>
      <c r="P396" s="16"/>
      <c r="Q396" s="14">
        <f t="shared" si="32"/>
        <v>2</v>
      </c>
      <c r="R396" s="14"/>
      <c r="S396" s="14"/>
      <c r="T396" s="13" t="str">
        <f t="shared" si="33"/>
        <v>On-Time</v>
      </c>
      <c r="U396" s="14"/>
      <c r="V396" s="13" t="str">
        <f t="shared" si="34"/>
        <v>High Quantity</v>
      </c>
      <c r="W396" s="16"/>
    </row>
    <row r="397" spans="1:23">
      <c r="A397" s="5" t="s">
        <v>456</v>
      </c>
      <c r="B397" s="6">
        <v>45399</v>
      </c>
      <c r="C397" s="7" t="s">
        <v>33</v>
      </c>
      <c r="D397" s="7" t="s">
        <v>39</v>
      </c>
      <c r="E397" s="8">
        <v>3302</v>
      </c>
      <c r="F397" s="9">
        <v>10440.52</v>
      </c>
      <c r="G397" s="6">
        <v>45402</v>
      </c>
      <c r="H397" s="6">
        <v>45412</v>
      </c>
      <c r="I397" s="7" t="s">
        <v>19</v>
      </c>
      <c r="J397" s="7" t="s">
        <v>44</v>
      </c>
      <c r="K397" s="7" t="s">
        <v>27</v>
      </c>
      <c r="M397" s="13">
        <f t="shared" si="30"/>
        <v>10</v>
      </c>
      <c r="N397" s="14"/>
      <c r="O397" s="15">
        <f t="shared" si="31"/>
        <v>3.16187764990915</v>
      </c>
      <c r="P397" s="16"/>
      <c r="Q397" s="14">
        <f t="shared" si="32"/>
        <v>3</v>
      </c>
      <c r="R397" s="14"/>
      <c r="S397" s="14"/>
      <c r="T397" s="13" t="str">
        <f t="shared" si="33"/>
        <v>On-Time</v>
      </c>
      <c r="U397" s="14"/>
      <c r="V397" s="13" t="str">
        <f t="shared" si="34"/>
        <v>High Quantity</v>
      </c>
      <c r="W397" s="16"/>
    </row>
    <row r="398" spans="1:23">
      <c r="A398" s="5" t="s">
        <v>457</v>
      </c>
      <c r="B398" s="6">
        <v>45680</v>
      </c>
      <c r="C398" s="7" t="s">
        <v>24</v>
      </c>
      <c r="D398" s="7" t="s">
        <v>77</v>
      </c>
      <c r="E398" s="8">
        <v>3973</v>
      </c>
      <c r="F398" s="9">
        <v>11314.14</v>
      </c>
      <c r="G398" s="6">
        <v>45682</v>
      </c>
      <c r="H398" s="6">
        <v>45690</v>
      </c>
      <c r="I398" s="7" t="s">
        <v>30</v>
      </c>
      <c r="J398" s="7" t="s">
        <v>26</v>
      </c>
      <c r="K398" s="7" t="s">
        <v>27</v>
      </c>
      <c r="M398" s="13">
        <f t="shared" si="30"/>
        <v>8</v>
      </c>
      <c r="N398" s="14"/>
      <c r="O398" s="15">
        <f t="shared" si="31"/>
        <v>2.84775736219481</v>
      </c>
      <c r="P398" s="16"/>
      <c r="Q398" s="14">
        <f t="shared" si="32"/>
        <v>2</v>
      </c>
      <c r="R398" s="14"/>
      <c r="S398" s="14"/>
      <c r="T398" s="13" t="str">
        <f t="shared" si="33"/>
        <v>On-Time</v>
      </c>
      <c r="U398" s="14"/>
      <c r="V398" s="13" t="str">
        <f t="shared" si="34"/>
        <v>High Quantity</v>
      </c>
      <c r="W398" s="16"/>
    </row>
    <row r="399" spans="1:23">
      <c r="A399" s="5" t="s">
        <v>458</v>
      </c>
      <c r="B399" s="6">
        <v>45538</v>
      </c>
      <c r="C399" s="7" t="s">
        <v>54</v>
      </c>
      <c r="D399" s="7" t="s">
        <v>81</v>
      </c>
      <c r="E399" s="8">
        <v>3011</v>
      </c>
      <c r="F399" s="9">
        <v>2983.04</v>
      </c>
      <c r="G399" s="6">
        <v>45540</v>
      </c>
      <c r="H399" s="6">
        <v>45552</v>
      </c>
      <c r="I399" s="7" t="s">
        <v>19</v>
      </c>
      <c r="J399" s="7" t="s">
        <v>44</v>
      </c>
      <c r="K399" s="7" t="s">
        <v>27</v>
      </c>
      <c r="M399" s="13">
        <f t="shared" si="30"/>
        <v>12</v>
      </c>
      <c r="N399" s="14"/>
      <c r="O399" s="15">
        <f t="shared" si="31"/>
        <v>0.990714048488874</v>
      </c>
      <c r="P399" s="16"/>
      <c r="Q399" s="14">
        <f t="shared" si="32"/>
        <v>2</v>
      </c>
      <c r="R399" s="14"/>
      <c r="S399" s="14"/>
      <c r="T399" s="13" t="str">
        <f t="shared" si="33"/>
        <v>On-Time</v>
      </c>
      <c r="U399" s="14"/>
      <c r="V399" s="13" t="str">
        <f t="shared" si="34"/>
        <v>High Quantity</v>
      </c>
      <c r="W399" s="16"/>
    </row>
    <row r="400" spans="1:23">
      <c r="A400" s="5" t="s">
        <v>459</v>
      </c>
      <c r="B400" s="6">
        <v>45925</v>
      </c>
      <c r="C400" s="7" t="s">
        <v>38</v>
      </c>
      <c r="D400" s="7" t="s">
        <v>51</v>
      </c>
      <c r="E400" s="8">
        <v>2765</v>
      </c>
      <c r="F400" s="9">
        <v>14553.87</v>
      </c>
      <c r="G400" s="6">
        <v>45928</v>
      </c>
      <c r="H400" s="6">
        <v>45931</v>
      </c>
      <c r="I400" s="7" t="s">
        <v>30</v>
      </c>
      <c r="J400" s="7" t="s">
        <v>59</v>
      </c>
      <c r="K400" s="7" t="s">
        <v>27</v>
      </c>
      <c r="M400" s="13">
        <f t="shared" si="30"/>
        <v>3</v>
      </c>
      <c r="N400" s="14"/>
      <c r="O400" s="15">
        <f t="shared" si="31"/>
        <v>5.26360578661845</v>
      </c>
      <c r="P400" s="16"/>
      <c r="Q400" s="14">
        <f t="shared" si="32"/>
        <v>3</v>
      </c>
      <c r="R400" s="14"/>
      <c r="S400" s="14"/>
      <c r="T400" s="13" t="str">
        <f t="shared" si="33"/>
        <v>On-Time</v>
      </c>
      <c r="U400" s="14"/>
      <c r="V400" s="13" t="str">
        <f t="shared" si="34"/>
        <v>Low Quantity</v>
      </c>
      <c r="W400" s="16"/>
    </row>
    <row r="401" spans="1:23">
      <c r="A401" s="5" t="s">
        <v>460</v>
      </c>
      <c r="B401" s="6">
        <v>45664</v>
      </c>
      <c r="C401" s="7" t="s">
        <v>38</v>
      </c>
      <c r="D401" s="7" t="s">
        <v>77</v>
      </c>
      <c r="E401" s="8">
        <v>3485</v>
      </c>
      <c r="F401" s="9">
        <v>8704.72</v>
      </c>
      <c r="G401" s="6">
        <v>45667</v>
      </c>
      <c r="H401" s="6">
        <v>45675</v>
      </c>
      <c r="I401" s="7" t="s">
        <v>19</v>
      </c>
      <c r="J401" s="7" t="s">
        <v>26</v>
      </c>
      <c r="K401" s="7" t="s">
        <v>27</v>
      </c>
      <c r="M401" s="13">
        <f t="shared" si="30"/>
        <v>8</v>
      </c>
      <c r="N401" s="14"/>
      <c r="O401" s="15">
        <f t="shared" si="31"/>
        <v>2.49776757532281</v>
      </c>
      <c r="P401" s="16"/>
      <c r="Q401" s="14">
        <f t="shared" si="32"/>
        <v>3</v>
      </c>
      <c r="R401" s="14"/>
      <c r="S401" s="14"/>
      <c r="T401" s="13" t="str">
        <f t="shared" si="33"/>
        <v>On-Time</v>
      </c>
      <c r="U401" s="14"/>
      <c r="V401" s="13" t="str">
        <f t="shared" si="34"/>
        <v>High Quantity</v>
      </c>
      <c r="W401" s="16"/>
    </row>
    <row r="402" spans="1:23">
      <c r="A402" s="5" t="s">
        <v>461</v>
      </c>
      <c r="B402" s="6">
        <v>45867</v>
      </c>
      <c r="C402" s="7" t="s">
        <v>79</v>
      </c>
      <c r="D402" s="7" t="s">
        <v>41</v>
      </c>
      <c r="E402" s="8">
        <v>4771</v>
      </c>
      <c r="F402" s="9">
        <v>10553.1</v>
      </c>
      <c r="G402" s="6">
        <v>45868</v>
      </c>
      <c r="H402" s="6">
        <v>45869</v>
      </c>
      <c r="I402" s="7" t="s">
        <v>49</v>
      </c>
      <c r="J402" s="7" t="s">
        <v>59</v>
      </c>
      <c r="K402" s="7" t="s">
        <v>27</v>
      </c>
      <c r="M402" s="13">
        <f t="shared" si="30"/>
        <v>1</v>
      </c>
      <c r="N402" s="14"/>
      <c r="O402" s="15">
        <f t="shared" si="31"/>
        <v>2.21192622091805</v>
      </c>
      <c r="P402" s="16"/>
      <c r="Q402" s="14">
        <f t="shared" si="32"/>
        <v>1</v>
      </c>
      <c r="R402" s="14"/>
      <c r="S402" s="14"/>
      <c r="T402" s="13" t="str">
        <f t="shared" si="33"/>
        <v>On-Time</v>
      </c>
      <c r="U402" s="14"/>
      <c r="V402" s="13" t="str">
        <f t="shared" si="34"/>
        <v>High Quantity</v>
      </c>
      <c r="W402" s="16"/>
    </row>
    <row r="403" spans="1:23">
      <c r="A403" s="5" t="s">
        <v>462</v>
      </c>
      <c r="B403" s="6">
        <v>45518</v>
      </c>
      <c r="C403" s="7" t="s">
        <v>38</v>
      </c>
      <c r="D403" s="7" t="s">
        <v>18</v>
      </c>
      <c r="E403" s="8">
        <v>4367</v>
      </c>
      <c r="F403" s="9">
        <v>5816.52</v>
      </c>
      <c r="G403" s="6">
        <v>45519</v>
      </c>
      <c r="H403" s="6">
        <v>45525</v>
      </c>
      <c r="I403" s="7" t="s">
        <v>19</v>
      </c>
      <c r="J403" s="7" t="s">
        <v>26</v>
      </c>
      <c r="K403" s="7" t="s">
        <v>27</v>
      </c>
      <c r="M403" s="13">
        <f t="shared" si="30"/>
        <v>6</v>
      </c>
      <c r="N403" s="14"/>
      <c r="O403" s="15">
        <f t="shared" si="31"/>
        <v>1.33192580719029</v>
      </c>
      <c r="P403" s="16"/>
      <c r="Q403" s="14">
        <f t="shared" si="32"/>
        <v>1</v>
      </c>
      <c r="R403" s="14"/>
      <c r="S403" s="14"/>
      <c r="T403" s="13" t="str">
        <f t="shared" si="33"/>
        <v>On-Time</v>
      </c>
      <c r="U403" s="14"/>
      <c r="V403" s="13" t="str">
        <f t="shared" si="34"/>
        <v>High Quantity</v>
      </c>
      <c r="W403" s="16"/>
    </row>
    <row r="404" spans="1:23">
      <c r="A404" s="5" t="s">
        <v>463</v>
      </c>
      <c r="B404" s="6">
        <v>45550</v>
      </c>
      <c r="C404" s="7" t="s">
        <v>24</v>
      </c>
      <c r="D404" s="7" t="s">
        <v>41</v>
      </c>
      <c r="E404" s="8">
        <v>2046</v>
      </c>
      <c r="F404" s="9">
        <v>10505.98</v>
      </c>
      <c r="G404" s="6">
        <v>45551</v>
      </c>
      <c r="H404" s="6">
        <v>45553</v>
      </c>
      <c r="I404" s="7" t="s">
        <v>19</v>
      </c>
      <c r="J404" s="7" t="s">
        <v>26</v>
      </c>
      <c r="K404" s="7" t="s">
        <v>27</v>
      </c>
      <c r="M404" s="13">
        <f t="shared" si="30"/>
        <v>2</v>
      </c>
      <c r="N404" s="14"/>
      <c r="O404" s="15">
        <f t="shared" si="31"/>
        <v>5.13488758553275</v>
      </c>
      <c r="P404" s="16"/>
      <c r="Q404" s="14">
        <f t="shared" si="32"/>
        <v>1</v>
      </c>
      <c r="R404" s="14"/>
      <c r="S404" s="14"/>
      <c r="T404" s="13" t="str">
        <f t="shared" si="33"/>
        <v>On-Time</v>
      </c>
      <c r="U404" s="14"/>
      <c r="V404" s="13" t="str">
        <f t="shared" si="34"/>
        <v>Low Quantity</v>
      </c>
      <c r="W404" s="16"/>
    </row>
    <row r="405" spans="1:23">
      <c r="A405" s="5" t="s">
        <v>464</v>
      </c>
      <c r="B405" s="6">
        <v>45308</v>
      </c>
      <c r="C405" s="7" t="s">
        <v>92</v>
      </c>
      <c r="D405" s="7" t="s">
        <v>100</v>
      </c>
      <c r="E405" s="8">
        <v>2172</v>
      </c>
      <c r="F405" s="9">
        <v>5499.75</v>
      </c>
      <c r="G405" s="6">
        <v>45310</v>
      </c>
      <c r="H405" s="6">
        <v>45334</v>
      </c>
      <c r="I405" s="7" t="s">
        <v>30</v>
      </c>
      <c r="J405" s="7" t="s">
        <v>20</v>
      </c>
      <c r="K405" s="7" t="s">
        <v>27</v>
      </c>
      <c r="M405" s="13">
        <f t="shared" si="30"/>
        <v>24</v>
      </c>
      <c r="N405" s="14"/>
      <c r="O405" s="15">
        <f t="shared" si="31"/>
        <v>2.53211325966851</v>
      </c>
      <c r="P405" s="16"/>
      <c r="Q405" s="14">
        <f t="shared" si="32"/>
        <v>2</v>
      </c>
      <c r="R405" s="14"/>
      <c r="S405" s="14"/>
      <c r="T405" s="13" t="str">
        <f t="shared" si="33"/>
        <v>On-Time</v>
      </c>
      <c r="U405" s="14"/>
      <c r="V405" s="13" t="str">
        <f t="shared" si="34"/>
        <v>Low Quantity</v>
      </c>
      <c r="W405" s="16"/>
    </row>
    <row r="406" spans="1:23">
      <c r="A406" s="5" t="s">
        <v>465</v>
      </c>
      <c r="B406" s="6">
        <v>45478</v>
      </c>
      <c r="C406" s="7" t="s">
        <v>76</v>
      </c>
      <c r="D406" s="7" t="s">
        <v>51</v>
      </c>
      <c r="E406" s="8">
        <v>4237</v>
      </c>
      <c r="F406" s="9">
        <v>6867.06</v>
      </c>
      <c r="G406" s="6">
        <v>45481</v>
      </c>
      <c r="H406" s="6">
        <v>45491</v>
      </c>
      <c r="I406" s="7" t="s">
        <v>30</v>
      </c>
      <c r="J406" s="7" t="s">
        <v>26</v>
      </c>
      <c r="K406" s="7" t="s">
        <v>21</v>
      </c>
      <c r="M406" s="13">
        <f t="shared" si="30"/>
        <v>10</v>
      </c>
      <c r="N406" s="14"/>
      <c r="O406" s="15">
        <f t="shared" si="31"/>
        <v>1.62073637007317</v>
      </c>
      <c r="P406" s="16"/>
      <c r="Q406" s="14">
        <f t="shared" si="32"/>
        <v>3</v>
      </c>
      <c r="R406" s="14"/>
      <c r="S406" s="14"/>
      <c r="T406" s="13" t="str">
        <f t="shared" si="33"/>
        <v>Delayed</v>
      </c>
      <c r="U406" s="14"/>
      <c r="V406" s="13" t="str">
        <f t="shared" si="34"/>
        <v>High Quantity</v>
      </c>
      <c r="W406" s="16"/>
    </row>
    <row r="407" spans="1:23">
      <c r="A407" s="5" t="s">
        <v>466</v>
      </c>
      <c r="B407" s="6">
        <v>45801</v>
      </c>
      <c r="C407" s="7" t="s">
        <v>38</v>
      </c>
      <c r="D407" s="7" t="s">
        <v>46</v>
      </c>
      <c r="E407" s="5">
        <v>166</v>
      </c>
      <c r="F407" s="9">
        <v>596.22</v>
      </c>
      <c r="G407" s="6">
        <v>45803</v>
      </c>
      <c r="H407" s="6">
        <v>45813</v>
      </c>
      <c r="I407" s="7" t="s">
        <v>19</v>
      </c>
      <c r="J407" s="7" t="s">
        <v>26</v>
      </c>
      <c r="K407" s="7" t="s">
        <v>21</v>
      </c>
      <c r="M407" s="13">
        <f t="shared" si="30"/>
        <v>10</v>
      </c>
      <c r="N407" s="14"/>
      <c r="O407" s="15">
        <f t="shared" si="31"/>
        <v>3.59168674698795</v>
      </c>
      <c r="P407" s="16"/>
      <c r="Q407" s="14">
        <f t="shared" si="32"/>
        <v>2</v>
      </c>
      <c r="R407" s="14"/>
      <c r="S407" s="14"/>
      <c r="T407" s="13" t="str">
        <f t="shared" si="33"/>
        <v>Delayed</v>
      </c>
      <c r="U407" s="14"/>
      <c r="V407" s="13" t="str">
        <f t="shared" si="34"/>
        <v>Low Quantity</v>
      </c>
      <c r="W407" s="16"/>
    </row>
    <row r="408" spans="1:23">
      <c r="A408" s="5" t="s">
        <v>467</v>
      </c>
      <c r="B408" s="6">
        <v>45963</v>
      </c>
      <c r="C408" s="7" t="s">
        <v>24</v>
      </c>
      <c r="D408" s="7" t="s">
        <v>100</v>
      </c>
      <c r="E408" s="5">
        <v>829</v>
      </c>
      <c r="F408" s="9">
        <v>2080.83</v>
      </c>
      <c r="G408" s="6">
        <v>45965</v>
      </c>
      <c r="H408" s="6">
        <v>45972</v>
      </c>
      <c r="I408" s="7" t="s">
        <v>19</v>
      </c>
      <c r="J408" s="7" t="s">
        <v>44</v>
      </c>
      <c r="K408" s="7" t="s">
        <v>27</v>
      </c>
      <c r="M408" s="13">
        <f t="shared" si="30"/>
        <v>7</v>
      </c>
      <c r="N408" s="14"/>
      <c r="O408" s="15">
        <f t="shared" si="31"/>
        <v>2.5100482509047</v>
      </c>
      <c r="P408" s="16"/>
      <c r="Q408" s="14">
        <f t="shared" si="32"/>
        <v>2</v>
      </c>
      <c r="R408" s="14"/>
      <c r="S408" s="14"/>
      <c r="T408" s="13" t="str">
        <f t="shared" si="33"/>
        <v>On-Time</v>
      </c>
      <c r="U408" s="14"/>
      <c r="V408" s="13" t="str">
        <f t="shared" si="34"/>
        <v>Low Quantity</v>
      </c>
      <c r="W408" s="16"/>
    </row>
    <row r="409" spans="1:23">
      <c r="A409" s="5" t="s">
        <v>468</v>
      </c>
      <c r="B409" s="6">
        <v>45928</v>
      </c>
      <c r="C409" s="7" t="s">
        <v>65</v>
      </c>
      <c r="D409" s="7" t="s">
        <v>34</v>
      </c>
      <c r="E409" s="8">
        <v>3304</v>
      </c>
      <c r="F409" s="9">
        <v>37497.84</v>
      </c>
      <c r="G409" s="6">
        <v>45929</v>
      </c>
      <c r="H409" s="6">
        <v>45936</v>
      </c>
      <c r="I409" s="7" t="s">
        <v>49</v>
      </c>
      <c r="J409" s="7" t="s">
        <v>26</v>
      </c>
      <c r="K409" s="7" t="s">
        <v>27</v>
      </c>
      <c r="M409" s="13">
        <f t="shared" si="30"/>
        <v>7</v>
      </c>
      <c r="N409" s="14"/>
      <c r="O409" s="15">
        <f t="shared" si="31"/>
        <v>11.3492251815981</v>
      </c>
      <c r="P409" s="16"/>
      <c r="Q409" s="14">
        <f t="shared" si="32"/>
        <v>1</v>
      </c>
      <c r="R409" s="14"/>
      <c r="S409" s="14"/>
      <c r="T409" s="13" t="str">
        <f t="shared" si="33"/>
        <v>On-Time</v>
      </c>
      <c r="U409" s="14"/>
      <c r="V409" s="13" t="str">
        <f t="shared" si="34"/>
        <v>High Quantity</v>
      </c>
      <c r="W409" s="16"/>
    </row>
    <row r="410" spans="1:23">
      <c r="A410" s="5" t="s">
        <v>469</v>
      </c>
      <c r="B410" s="6">
        <v>45547</v>
      </c>
      <c r="C410" s="7" t="s">
        <v>17</v>
      </c>
      <c r="D410" s="7" t="s">
        <v>34</v>
      </c>
      <c r="E410" s="8">
        <v>3976</v>
      </c>
      <c r="F410" s="9">
        <v>5475.09</v>
      </c>
      <c r="G410" s="6">
        <v>45550</v>
      </c>
      <c r="H410" s="6">
        <v>45551</v>
      </c>
      <c r="I410" s="7" t="s">
        <v>30</v>
      </c>
      <c r="J410" s="7" t="s">
        <v>59</v>
      </c>
      <c r="K410" s="7" t="s">
        <v>27</v>
      </c>
      <c r="M410" s="13">
        <f t="shared" si="30"/>
        <v>1</v>
      </c>
      <c r="N410" s="14"/>
      <c r="O410" s="15">
        <f t="shared" si="31"/>
        <v>1.3770347082495</v>
      </c>
      <c r="P410" s="16"/>
      <c r="Q410" s="14">
        <f t="shared" si="32"/>
        <v>3</v>
      </c>
      <c r="R410" s="14"/>
      <c r="S410" s="14"/>
      <c r="T410" s="13" t="str">
        <f t="shared" si="33"/>
        <v>On-Time</v>
      </c>
      <c r="U410" s="14"/>
      <c r="V410" s="13" t="str">
        <f t="shared" si="34"/>
        <v>High Quantity</v>
      </c>
      <c r="W410" s="16"/>
    </row>
    <row r="411" spans="1:23">
      <c r="A411" s="5" t="s">
        <v>470</v>
      </c>
      <c r="B411" s="6">
        <v>45884</v>
      </c>
      <c r="C411" s="7" t="s">
        <v>24</v>
      </c>
      <c r="D411" s="7" t="s">
        <v>25</v>
      </c>
      <c r="E411" s="8">
        <v>4253</v>
      </c>
      <c r="F411" s="9">
        <v>1435.25</v>
      </c>
      <c r="G411" s="6">
        <v>45886</v>
      </c>
      <c r="H411" s="6">
        <v>45890</v>
      </c>
      <c r="I411" s="7" t="s">
        <v>30</v>
      </c>
      <c r="J411" s="7" t="s">
        <v>26</v>
      </c>
      <c r="K411" s="7" t="s">
        <v>27</v>
      </c>
      <c r="M411" s="13">
        <f t="shared" si="30"/>
        <v>4</v>
      </c>
      <c r="N411" s="14"/>
      <c r="O411" s="15">
        <f t="shared" si="31"/>
        <v>0.337467669880085</v>
      </c>
      <c r="P411" s="16"/>
      <c r="Q411" s="14">
        <f t="shared" si="32"/>
        <v>2</v>
      </c>
      <c r="R411" s="14"/>
      <c r="S411" s="14"/>
      <c r="T411" s="13" t="str">
        <f t="shared" si="33"/>
        <v>On-Time</v>
      </c>
      <c r="U411" s="14"/>
      <c r="V411" s="13" t="str">
        <f t="shared" si="34"/>
        <v>High Quantity</v>
      </c>
      <c r="W411" s="16"/>
    </row>
    <row r="412" spans="1:23">
      <c r="A412" s="5" t="s">
        <v>471</v>
      </c>
      <c r="B412" s="6">
        <v>45922</v>
      </c>
      <c r="C412" s="7" t="s">
        <v>38</v>
      </c>
      <c r="D412" s="7" t="s">
        <v>46</v>
      </c>
      <c r="E412" s="8">
        <v>1915</v>
      </c>
      <c r="F412" s="9">
        <v>2867.73</v>
      </c>
      <c r="G412" s="6">
        <v>45923</v>
      </c>
      <c r="H412" s="6">
        <v>45928</v>
      </c>
      <c r="I412" s="7" t="s">
        <v>19</v>
      </c>
      <c r="J412" s="7" t="s">
        <v>26</v>
      </c>
      <c r="K412" s="7" t="s">
        <v>27</v>
      </c>
      <c r="M412" s="13">
        <f t="shared" si="30"/>
        <v>5</v>
      </c>
      <c r="N412" s="14"/>
      <c r="O412" s="15">
        <f t="shared" si="31"/>
        <v>1.4975091383812</v>
      </c>
      <c r="P412" s="16"/>
      <c r="Q412" s="14">
        <f t="shared" si="32"/>
        <v>1</v>
      </c>
      <c r="R412" s="14"/>
      <c r="S412" s="14"/>
      <c r="T412" s="13" t="str">
        <f t="shared" si="33"/>
        <v>On-Time</v>
      </c>
      <c r="U412" s="14"/>
      <c r="V412" s="13" t="str">
        <f t="shared" si="34"/>
        <v>Low Quantity</v>
      </c>
      <c r="W412" s="16"/>
    </row>
    <row r="413" spans="1:23">
      <c r="A413" s="5" t="s">
        <v>472</v>
      </c>
      <c r="B413" s="6">
        <v>45660</v>
      </c>
      <c r="C413" s="7" t="s">
        <v>76</v>
      </c>
      <c r="D413" s="7" t="s">
        <v>100</v>
      </c>
      <c r="E413" s="8">
        <v>3787</v>
      </c>
      <c r="F413" s="9">
        <v>5185.06</v>
      </c>
      <c r="G413" s="6">
        <v>45663</v>
      </c>
      <c r="H413" s="6">
        <v>45669</v>
      </c>
      <c r="I413" s="7" t="s">
        <v>19</v>
      </c>
      <c r="J413" s="7" t="s">
        <v>26</v>
      </c>
      <c r="K413" s="7" t="s">
        <v>27</v>
      </c>
      <c r="M413" s="13">
        <f t="shared" si="30"/>
        <v>6</v>
      </c>
      <c r="N413" s="14"/>
      <c r="O413" s="15">
        <f t="shared" si="31"/>
        <v>1.36917348824927</v>
      </c>
      <c r="P413" s="16"/>
      <c r="Q413" s="14">
        <f t="shared" si="32"/>
        <v>3</v>
      </c>
      <c r="R413" s="14"/>
      <c r="S413" s="14"/>
      <c r="T413" s="13" t="str">
        <f t="shared" si="33"/>
        <v>On-Time</v>
      </c>
      <c r="U413" s="14"/>
      <c r="V413" s="13" t="str">
        <f t="shared" si="34"/>
        <v>High Quantity</v>
      </c>
      <c r="W413" s="16"/>
    </row>
    <row r="414" spans="1:23">
      <c r="A414" s="5" t="s">
        <v>473</v>
      </c>
      <c r="B414" s="6">
        <v>45887</v>
      </c>
      <c r="C414" s="7" t="s">
        <v>68</v>
      </c>
      <c r="D414" s="7" t="s">
        <v>34</v>
      </c>
      <c r="E414" s="5">
        <v>612</v>
      </c>
      <c r="F414" s="9">
        <v>25732.91</v>
      </c>
      <c r="G414" s="6">
        <v>45889</v>
      </c>
      <c r="H414" s="6">
        <v>45903</v>
      </c>
      <c r="I414" s="7" t="s">
        <v>30</v>
      </c>
      <c r="J414" s="7" t="s">
        <v>44</v>
      </c>
      <c r="K414" s="7" t="s">
        <v>21</v>
      </c>
      <c r="M414" s="13">
        <f t="shared" si="30"/>
        <v>14</v>
      </c>
      <c r="N414" s="14"/>
      <c r="O414" s="15">
        <f t="shared" si="31"/>
        <v>42.0472385620915</v>
      </c>
      <c r="P414" s="16"/>
      <c r="Q414" s="14">
        <f t="shared" si="32"/>
        <v>2</v>
      </c>
      <c r="R414" s="14"/>
      <c r="S414" s="14"/>
      <c r="T414" s="13" t="str">
        <f t="shared" si="33"/>
        <v>Delayed</v>
      </c>
      <c r="U414" s="14"/>
      <c r="V414" s="13" t="str">
        <f t="shared" si="34"/>
        <v>Low Quantity</v>
      </c>
      <c r="W414" s="16"/>
    </row>
    <row r="415" spans="1:23">
      <c r="A415" s="5" t="s">
        <v>474</v>
      </c>
      <c r="B415" s="6">
        <v>45625</v>
      </c>
      <c r="C415" s="7" t="s">
        <v>24</v>
      </c>
      <c r="D415" s="7" t="s">
        <v>39</v>
      </c>
      <c r="E415" s="8">
        <v>4629</v>
      </c>
      <c r="F415" s="9">
        <v>10221.53</v>
      </c>
      <c r="G415" s="6">
        <v>45626</v>
      </c>
      <c r="H415" s="6">
        <v>45632</v>
      </c>
      <c r="I415" s="7" t="s">
        <v>19</v>
      </c>
      <c r="J415" s="7" t="s">
        <v>26</v>
      </c>
      <c r="K415" s="7" t="s">
        <v>27</v>
      </c>
      <c r="M415" s="13">
        <f t="shared" si="30"/>
        <v>6</v>
      </c>
      <c r="N415" s="14"/>
      <c r="O415" s="15">
        <f t="shared" si="31"/>
        <v>2.20815078850724</v>
      </c>
      <c r="P415" s="16"/>
      <c r="Q415" s="14">
        <f t="shared" si="32"/>
        <v>1</v>
      </c>
      <c r="R415" s="14"/>
      <c r="S415" s="14"/>
      <c r="T415" s="13" t="str">
        <f t="shared" si="33"/>
        <v>On-Time</v>
      </c>
      <c r="U415" s="14"/>
      <c r="V415" s="13" t="str">
        <f t="shared" si="34"/>
        <v>High Quantity</v>
      </c>
      <c r="W415" s="16"/>
    </row>
    <row r="416" spans="1:23">
      <c r="A416" s="5" t="s">
        <v>475</v>
      </c>
      <c r="B416" s="6">
        <v>45483</v>
      </c>
      <c r="C416" s="7" t="s">
        <v>56</v>
      </c>
      <c r="D416" s="7" t="s">
        <v>77</v>
      </c>
      <c r="E416" s="8">
        <v>4614</v>
      </c>
      <c r="F416" s="9">
        <v>7450.81</v>
      </c>
      <c r="G416" s="6">
        <v>45484</v>
      </c>
      <c r="H416" s="6">
        <v>45493</v>
      </c>
      <c r="I416" s="7" t="s">
        <v>30</v>
      </c>
      <c r="J416" s="7" t="s">
        <v>26</v>
      </c>
      <c r="K416" s="7" t="s">
        <v>21</v>
      </c>
      <c r="M416" s="13">
        <f t="shared" si="30"/>
        <v>9</v>
      </c>
      <c r="N416" s="14"/>
      <c r="O416" s="15">
        <f t="shared" si="31"/>
        <v>1.61482661465106</v>
      </c>
      <c r="P416" s="16"/>
      <c r="Q416" s="14">
        <f t="shared" si="32"/>
        <v>1</v>
      </c>
      <c r="R416" s="14"/>
      <c r="S416" s="14"/>
      <c r="T416" s="13" t="str">
        <f t="shared" si="33"/>
        <v>Delayed</v>
      </c>
      <c r="U416" s="14"/>
      <c r="V416" s="13" t="str">
        <f t="shared" si="34"/>
        <v>High Quantity</v>
      </c>
      <c r="W416" s="16"/>
    </row>
    <row r="417" spans="1:23">
      <c r="A417" s="5" t="s">
        <v>476</v>
      </c>
      <c r="B417" s="6">
        <v>45614</v>
      </c>
      <c r="C417" s="7" t="s">
        <v>56</v>
      </c>
      <c r="D417" s="7" t="s">
        <v>100</v>
      </c>
      <c r="E417" s="8">
        <v>1966</v>
      </c>
      <c r="F417" s="9">
        <v>3775.95</v>
      </c>
      <c r="G417" s="6">
        <v>45616</v>
      </c>
      <c r="H417" s="6">
        <v>45647</v>
      </c>
      <c r="I417" s="7" t="s">
        <v>49</v>
      </c>
      <c r="J417" s="7" t="s">
        <v>20</v>
      </c>
      <c r="K417" s="7" t="s">
        <v>27</v>
      </c>
      <c r="M417" s="13">
        <f t="shared" si="30"/>
        <v>31</v>
      </c>
      <c r="N417" s="14"/>
      <c r="O417" s="15">
        <f t="shared" si="31"/>
        <v>1.92062563580875</v>
      </c>
      <c r="P417" s="16"/>
      <c r="Q417" s="14">
        <f t="shared" si="32"/>
        <v>2</v>
      </c>
      <c r="R417" s="14"/>
      <c r="S417" s="14"/>
      <c r="T417" s="13" t="str">
        <f t="shared" si="33"/>
        <v>On-Time</v>
      </c>
      <c r="U417" s="14"/>
      <c r="V417" s="13" t="str">
        <f t="shared" si="34"/>
        <v>Low Quantity</v>
      </c>
      <c r="W417" s="16"/>
    </row>
    <row r="418" spans="1:23">
      <c r="A418" s="5" t="s">
        <v>477</v>
      </c>
      <c r="B418" s="6">
        <v>45770</v>
      </c>
      <c r="C418" s="7" t="s">
        <v>92</v>
      </c>
      <c r="D418" s="7" t="s">
        <v>39</v>
      </c>
      <c r="E418" s="8">
        <v>3878</v>
      </c>
      <c r="F418" s="9">
        <v>1759.76</v>
      </c>
      <c r="G418" s="6">
        <v>45771</v>
      </c>
      <c r="H418" s="6">
        <v>45772</v>
      </c>
      <c r="I418" s="7" t="s">
        <v>19</v>
      </c>
      <c r="J418" s="7" t="s">
        <v>59</v>
      </c>
      <c r="K418" s="7" t="s">
        <v>27</v>
      </c>
      <c r="M418" s="13">
        <f t="shared" si="30"/>
        <v>1</v>
      </c>
      <c r="N418" s="14"/>
      <c r="O418" s="15">
        <f t="shared" si="31"/>
        <v>0.453780299123259</v>
      </c>
      <c r="P418" s="16"/>
      <c r="Q418" s="14">
        <f t="shared" si="32"/>
        <v>1</v>
      </c>
      <c r="R418" s="14"/>
      <c r="S418" s="14"/>
      <c r="T418" s="13" t="str">
        <f t="shared" si="33"/>
        <v>On-Time</v>
      </c>
      <c r="U418" s="14"/>
      <c r="V418" s="13" t="str">
        <f t="shared" si="34"/>
        <v>High Quantity</v>
      </c>
      <c r="W418" s="16"/>
    </row>
    <row r="419" spans="1:23">
      <c r="A419" s="5" t="s">
        <v>478</v>
      </c>
      <c r="B419" s="6">
        <v>45401</v>
      </c>
      <c r="C419" s="7" t="s">
        <v>87</v>
      </c>
      <c r="D419" s="7" t="s">
        <v>77</v>
      </c>
      <c r="E419" s="8">
        <v>4501</v>
      </c>
      <c r="F419" s="9">
        <v>6833.15</v>
      </c>
      <c r="G419" s="6">
        <v>45402</v>
      </c>
      <c r="H419" s="6">
        <v>45419</v>
      </c>
      <c r="I419" s="7" t="s">
        <v>49</v>
      </c>
      <c r="J419" s="7" t="s">
        <v>20</v>
      </c>
      <c r="K419" s="7" t="s">
        <v>27</v>
      </c>
      <c r="M419" s="13">
        <f t="shared" si="30"/>
        <v>17</v>
      </c>
      <c r="N419" s="14"/>
      <c r="O419" s="15">
        <f t="shared" si="31"/>
        <v>1.5181404132415</v>
      </c>
      <c r="P419" s="16"/>
      <c r="Q419" s="14">
        <f t="shared" si="32"/>
        <v>1</v>
      </c>
      <c r="R419" s="14"/>
      <c r="S419" s="14"/>
      <c r="T419" s="13" t="str">
        <f t="shared" si="33"/>
        <v>On-Time</v>
      </c>
      <c r="U419" s="14"/>
      <c r="V419" s="13" t="str">
        <f t="shared" si="34"/>
        <v>High Quantity</v>
      </c>
      <c r="W419" s="16"/>
    </row>
    <row r="420" spans="1:23">
      <c r="A420" s="5" t="s">
        <v>479</v>
      </c>
      <c r="B420" s="6">
        <v>45616</v>
      </c>
      <c r="C420" s="7" t="s">
        <v>79</v>
      </c>
      <c r="D420" s="7" t="s">
        <v>34</v>
      </c>
      <c r="E420" s="8">
        <v>4636</v>
      </c>
      <c r="F420" s="9">
        <v>35459.05</v>
      </c>
      <c r="G420" s="6">
        <v>45619</v>
      </c>
      <c r="H420" s="6">
        <v>45628</v>
      </c>
      <c r="I420" s="7" t="s">
        <v>19</v>
      </c>
      <c r="J420" s="7" t="s">
        <v>44</v>
      </c>
      <c r="K420" s="7" t="s">
        <v>27</v>
      </c>
      <c r="M420" s="13">
        <f t="shared" si="30"/>
        <v>9</v>
      </c>
      <c r="N420" s="14"/>
      <c r="O420" s="15">
        <f t="shared" si="31"/>
        <v>7.64863028472822</v>
      </c>
      <c r="P420" s="16"/>
      <c r="Q420" s="14">
        <f t="shared" si="32"/>
        <v>3</v>
      </c>
      <c r="R420" s="14"/>
      <c r="S420" s="14"/>
      <c r="T420" s="13" t="str">
        <f t="shared" si="33"/>
        <v>On-Time</v>
      </c>
      <c r="U420" s="14"/>
      <c r="V420" s="13" t="str">
        <f t="shared" si="34"/>
        <v>High Quantity</v>
      </c>
      <c r="W420" s="16"/>
    </row>
    <row r="421" spans="1:23">
      <c r="A421" s="5" t="s">
        <v>480</v>
      </c>
      <c r="B421" s="6">
        <v>45932</v>
      </c>
      <c r="C421" s="7" t="s">
        <v>68</v>
      </c>
      <c r="D421" s="7" t="s">
        <v>25</v>
      </c>
      <c r="E421" s="8">
        <v>2642</v>
      </c>
      <c r="F421" s="9">
        <v>1531.31</v>
      </c>
      <c r="G421" s="6">
        <v>45934</v>
      </c>
      <c r="H421" s="6">
        <v>45944</v>
      </c>
      <c r="I421" s="7" t="s">
        <v>19</v>
      </c>
      <c r="J421" s="7" t="s">
        <v>26</v>
      </c>
      <c r="K421" s="7" t="s">
        <v>21</v>
      </c>
      <c r="M421" s="13">
        <f t="shared" si="30"/>
        <v>10</v>
      </c>
      <c r="N421" s="14"/>
      <c r="O421" s="15">
        <f t="shared" si="31"/>
        <v>0.579602573807721</v>
      </c>
      <c r="P421" s="16"/>
      <c r="Q421" s="14">
        <f t="shared" si="32"/>
        <v>2</v>
      </c>
      <c r="R421" s="14"/>
      <c r="S421" s="14"/>
      <c r="T421" s="13" t="str">
        <f t="shared" si="33"/>
        <v>Delayed</v>
      </c>
      <c r="U421" s="14"/>
      <c r="V421" s="13" t="str">
        <f t="shared" si="34"/>
        <v>Low Quantity</v>
      </c>
      <c r="W421" s="16"/>
    </row>
    <row r="422" spans="1:23">
      <c r="A422" s="5" t="s">
        <v>481</v>
      </c>
      <c r="B422" s="6">
        <v>45375</v>
      </c>
      <c r="C422" s="7" t="s">
        <v>17</v>
      </c>
      <c r="D422" s="7" t="s">
        <v>77</v>
      </c>
      <c r="E422" s="8">
        <v>2956</v>
      </c>
      <c r="F422" s="9">
        <v>14610.76</v>
      </c>
      <c r="G422" s="6">
        <v>45377</v>
      </c>
      <c r="H422" s="6">
        <v>45399</v>
      </c>
      <c r="I422" s="7" t="s">
        <v>19</v>
      </c>
      <c r="J422" s="7" t="s">
        <v>20</v>
      </c>
      <c r="K422" s="7" t="s">
        <v>27</v>
      </c>
      <c r="M422" s="13">
        <f t="shared" si="30"/>
        <v>22</v>
      </c>
      <c r="N422" s="14"/>
      <c r="O422" s="15">
        <f t="shared" si="31"/>
        <v>4.94274695534506</v>
      </c>
      <c r="P422" s="16"/>
      <c r="Q422" s="14">
        <f t="shared" si="32"/>
        <v>2</v>
      </c>
      <c r="R422" s="14"/>
      <c r="S422" s="14"/>
      <c r="T422" s="13" t="str">
        <f t="shared" si="33"/>
        <v>On-Time</v>
      </c>
      <c r="U422" s="14"/>
      <c r="V422" s="13" t="str">
        <f t="shared" si="34"/>
        <v>Low Quantity</v>
      </c>
      <c r="W422" s="16"/>
    </row>
    <row r="423" spans="1:23">
      <c r="A423" s="5" t="s">
        <v>482</v>
      </c>
      <c r="B423" s="6">
        <v>45549</v>
      </c>
      <c r="C423" s="7" t="s">
        <v>56</v>
      </c>
      <c r="D423" s="7" t="s">
        <v>51</v>
      </c>
      <c r="E423" s="8">
        <v>2043</v>
      </c>
      <c r="F423" s="9">
        <v>9332.68</v>
      </c>
      <c r="G423" s="6">
        <v>45551</v>
      </c>
      <c r="H423" s="6">
        <v>45553</v>
      </c>
      <c r="I423" s="7" t="s">
        <v>30</v>
      </c>
      <c r="J423" s="7" t="s">
        <v>59</v>
      </c>
      <c r="K423" s="7" t="s">
        <v>27</v>
      </c>
      <c r="M423" s="13">
        <f t="shared" si="30"/>
        <v>2</v>
      </c>
      <c r="N423" s="14"/>
      <c r="O423" s="15">
        <f t="shared" si="31"/>
        <v>4.56812530592266</v>
      </c>
      <c r="P423" s="16"/>
      <c r="Q423" s="14">
        <f t="shared" si="32"/>
        <v>2</v>
      </c>
      <c r="R423" s="14"/>
      <c r="S423" s="14"/>
      <c r="T423" s="13" t="str">
        <f t="shared" si="33"/>
        <v>On-Time</v>
      </c>
      <c r="U423" s="14"/>
      <c r="V423" s="13" t="str">
        <f t="shared" si="34"/>
        <v>Low Quantity</v>
      </c>
      <c r="W423" s="16"/>
    </row>
    <row r="424" spans="1:23">
      <c r="A424" s="5" t="s">
        <v>483</v>
      </c>
      <c r="B424" s="6">
        <v>45367</v>
      </c>
      <c r="C424" s="7" t="s">
        <v>54</v>
      </c>
      <c r="D424" s="7" t="s">
        <v>81</v>
      </c>
      <c r="E424" s="5">
        <v>276</v>
      </c>
      <c r="F424" s="9">
        <v>396.18</v>
      </c>
      <c r="G424" s="6">
        <v>45370</v>
      </c>
      <c r="H424" s="6">
        <v>45390</v>
      </c>
      <c r="I424" s="7" t="s">
        <v>19</v>
      </c>
      <c r="J424" s="7" t="s">
        <v>20</v>
      </c>
      <c r="K424" s="7" t="s">
        <v>27</v>
      </c>
      <c r="M424" s="13">
        <f t="shared" si="30"/>
        <v>20</v>
      </c>
      <c r="N424" s="14"/>
      <c r="O424" s="15">
        <f t="shared" si="31"/>
        <v>1.4354347826087</v>
      </c>
      <c r="P424" s="16"/>
      <c r="Q424" s="14">
        <f t="shared" si="32"/>
        <v>3</v>
      </c>
      <c r="R424" s="14"/>
      <c r="S424" s="14"/>
      <c r="T424" s="13" t="str">
        <f t="shared" si="33"/>
        <v>On-Time</v>
      </c>
      <c r="U424" s="14"/>
      <c r="V424" s="13" t="str">
        <f t="shared" si="34"/>
        <v>Low Quantity</v>
      </c>
      <c r="W424" s="16"/>
    </row>
    <row r="425" spans="1:23">
      <c r="A425" s="5" t="s">
        <v>484</v>
      </c>
      <c r="B425" s="6">
        <v>45555</v>
      </c>
      <c r="C425" s="7" t="s">
        <v>68</v>
      </c>
      <c r="D425" s="7" t="s">
        <v>81</v>
      </c>
      <c r="E425" s="8">
        <v>3102</v>
      </c>
      <c r="F425" s="9">
        <v>1583.4</v>
      </c>
      <c r="G425" s="6">
        <v>45558</v>
      </c>
      <c r="H425" s="6">
        <v>45566</v>
      </c>
      <c r="I425" s="7" t="s">
        <v>19</v>
      </c>
      <c r="J425" s="7" t="s">
        <v>26</v>
      </c>
      <c r="K425" s="7" t="s">
        <v>27</v>
      </c>
      <c r="M425" s="13">
        <f t="shared" si="30"/>
        <v>8</v>
      </c>
      <c r="N425" s="14"/>
      <c r="O425" s="15">
        <f t="shared" si="31"/>
        <v>0.510444874274662</v>
      </c>
      <c r="P425" s="16"/>
      <c r="Q425" s="14">
        <f t="shared" si="32"/>
        <v>3</v>
      </c>
      <c r="R425" s="14"/>
      <c r="S425" s="14"/>
      <c r="T425" s="13" t="str">
        <f t="shared" si="33"/>
        <v>On-Time</v>
      </c>
      <c r="U425" s="14"/>
      <c r="V425" s="13" t="str">
        <f t="shared" si="34"/>
        <v>High Quantity</v>
      </c>
      <c r="W425" s="16"/>
    </row>
    <row r="426" spans="1:23">
      <c r="A426" s="5" t="s">
        <v>485</v>
      </c>
      <c r="B426" s="6">
        <v>45635</v>
      </c>
      <c r="C426" s="7" t="s">
        <v>56</v>
      </c>
      <c r="D426" s="7" t="s">
        <v>25</v>
      </c>
      <c r="E426" s="8">
        <v>1226</v>
      </c>
      <c r="F426" s="9">
        <v>4469.64</v>
      </c>
      <c r="G426" s="6">
        <v>45636</v>
      </c>
      <c r="H426" s="6">
        <v>45643</v>
      </c>
      <c r="I426" s="7" t="s">
        <v>35</v>
      </c>
      <c r="J426" s="7" t="s">
        <v>26</v>
      </c>
      <c r="K426" s="7" t="s">
        <v>27</v>
      </c>
      <c r="M426" s="13">
        <f t="shared" si="30"/>
        <v>7</v>
      </c>
      <c r="N426" s="14"/>
      <c r="O426" s="15">
        <f t="shared" si="31"/>
        <v>3.64570962479608</v>
      </c>
      <c r="P426" s="16"/>
      <c r="Q426" s="14">
        <f t="shared" si="32"/>
        <v>1</v>
      </c>
      <c r="R426" s="14"/>
      <c r="S426" s="14"/>
      <c r="T426" s="13" t="str">
        <f t="shared" si="33"/>
        <v>On-Time</v>
      </c>
      <c r="U426" s="14"/>
      <c r="V426" s="13" t="str">
        <f t="shared" si="34"/>
        <v>Low Quantity</v>
      </c>
      <c r="W426" s="16"/>
    </row>
    <row r="427" spans="1:23">
      <c r="A427" s="5" t="s">
        <v>486</v>
      </c>
      <c r="B427" s="6">
        <v>45438</v>
      </c>
      <c r="C427" s="7" t="s">
        <v>65</v>
      </c>
      <c r="D427" s="7" t="s">
        <v>34</v>
      </c>
      <c r="E427" s="8">
        <v>1272</v>
      </c>
      <c r="F427" s="9">
        <v>8498.07</v>
      </c>
      <c r="G427" s="6">
        <v>45441</v>
      </c>
      <c r="H427" s="6">
        <v>45446</v>
      </c>
      <c r="I427" s="7" t="s">
        <v>30</v>
      </c>
      <c r="J427" s="7" t="s">
        <v>26</v>
      </c>
      <c r="K427" s="7" t="s">
        <v>27</v>
      </c>
      <c r="M427" s="13">
        <f t="shared" si="30"/>
        <v>5</v>
      </c>
      <c r="N427" s="14"/>
      <c r="O427" s="15">
        <f t="shared" si="31"/>
        <v>6.68087264150943</v>
      </c>
      <c r="P427" s="16"/>
      <c r="Q427" s="14">
        <f t="shared" si="32"/>
        <v>3</v>
      </c>
      <c r="R427" s="14"/>
      <c r="S427" s="14"/>
      <c r="T427" s="13" t="str">
        <f t="shared" si="33"/>
        <v>On-Time</v>
      </c>
      <c r="U427" s="14"/>
      <c r="V427" s="13" t="str">
        <f t="shared" si="34"/>
        <v>Low Quantity</v>
      </c>
      <c r="W427" s="16"/>
    </row>
    <row r="428" spans="1:23">
      <c r="A428" s="5" t="s">
        <v>487</v>
      </c>
      <c r="B428" s="6">
        <v>45631</v>
      </c>
      <c r="C428" s="7" t="s">
        <v>24</v>
      </c>
      <c r="D428" s="7" t="s">
        <v>81</v>
      </c>
      <c r="E428" s="5">
        <v>928</v>
      </c>
      <c r="F428" s="9">
        <v>94.5</v>
      </c>
      <c r="G428" s="6">
        <v>45634</v>
      </c>
      <c r="H428" s="6">
        <v>45655</v>
      </c>
      <c r="I428" s="7" t="s">
        <v>19</v>
      </c>
      <c r="J428" s="7" t="s">
        <v>20</v>
      </c>
      <c r="K428" s="7" t="s">
        <v>27</v>
      </c>
      <c r="M428" s="13">
        <f t="shared" si="30"/>
        <v>21</v>
      </c>
      <c r="N428" s="14"/>
      <c r="O428" s="15">
        <f t="shared" si="31"/>
        <v>0.101831896551724</v>
      </c>
      <c r="P428" s="16"/>
      <c r="Q428" s="14">
        <f t="shared" si="32"/>
        <v>3</v>
      </c>
      <c r="R428" s="14"/>
      <c r="S428" s="14"/>
      <c r="T428" s="13" t="str">
        <f t="shared" si="33"/>
        <v>On-Time</v>
      </c>
      <c r="U428" s="14"/>
      <c r="V428" s="13" t="str">
        <f t="shared" si="34"/>
        <v>Low Quantity</v>
      </c>
      <c r="W428" s="16"/>
    </row>
    <row r="429" spans="1:23">
      <c r="A429" s="5" t="s">
        <v>488</v>
      </c>
      <c r="B429" s="6">
        <v>45419</v>
      </c>
      <c r="C429" s="7" t="s">
        <v>38</v>
      </c>
      <c r="D429" s="7" t="s">
        <v>77</v>
      </c>
      <c r="E429" s="5">
        <v>789</v>
      </c>
      <c r="F429" s="9">
        <v>10143.21</v>
      </c>
      <c r="G429" s="6">
        <v>45422</v>
      </c>
      <c r="H429" s="6">
        <v>45428</v>
      </c>
      <c r="I429" s="7" t="s">
        <v>49</v>
      </c>
      <c r="J429" s="7" t="s">
        <v>26</v>
      </c>
      <c r="K429" s="7" t="s">
        <v>27</v>
      </c>
      <c r="M429" s="13">
        <f t="shared" si="30"/>
        <v>6</v>
      </c>
      <c r="N429" s="14"/>
      <c r="O429" s="15">
        <f t="shared" si="31"/>
        <v>12.8557794676806</v>
      </c>
      <c r="P429" s="16"/>
      <c r="Q429" s="14">
        <f t="shared" si="32"/>
        <v>3</v>
      </c>
      <c r="R429" s="14"/>
      <c r="S429" s="14"/>
      <c r="T429" s="13" t="str">
        <f t="shared" si="33"/>
        <v>On-Time</v>
      </c>
      <c r="U429" s="14"/>
      <c r="V429" s="13" t="str">
        <f t="shared" si="34"/>
        <v>Low Quantity</v>
      </c>
      <c r="W429" s="16"/>
    </row>
    <row r="430" spans="1:23">
      <c r="A430" s="5" t="s">
        <v>489</v>
      </c>
      <c r="B430" s="6">
        <v>45772</v>
      </c>
      <c r="C430" s="7" t="s">
        <v>65</v>
      </c>
      <c r="D430" s="7" t="s">
        <v>51</v>
      </c>
      <c r="E430" s="8">
        <v>1292</v>
      </c>
      <c r="F430" s="9">
        <v>4372.62</v>
      </c>
      <c r="G430" s="6">
        <v>45775</v>
      </c>
      <c r="H430" s="6">
        <v>45790</v>
      </c>
      <c r="I430" s="7" t="s">
        <v>19</v>
      </c>
      <c r="J430" s="7" t="s">
        <v>20</v>
      </c>
      <c r="K430" s="7" t="s">
        <v>27</v>
      </c>
      <c r="M430" s="13">
        <f t="shared" si="30"/>
        <v>15</v>
      </c>
      <c r="N430" s="14"/>
      <c r="O430" s="15">
        <f t="shared" si="31"/>
        <v>3.38438080495356</v>
      </c>
      <c r="P430" s="16"/>
      <c r="Q430" s="14">
        <f t="shared" si="32"/>
        <v>3</v>
      </c>
      <c r="R430" s="14"/>
      <c r="S430" s="14"/>
      <c r="T430" s="13" t="str">
        <f t="shared" si="33"/>
        <v>On-Time</v>
      </c>
      <c r="U430" s="14"/>
      <c r="V430" s="13" t="str">
        <f t="shared" si="34"/>
        <v>Low Quantity</v>
      </c>
      <c r="W430" s="16"/>
    </row>
    <row r="431" spans="1:23">
      <c r="A431" s="5" t="s">
        <v>490</v>
      </c>
      <c r="B431" s="6">
        <v>45587</v>
      </c>
      <c r="C431" s="7" t="s">
        <v>87</v>
      </c>
      <c r="D431" s="7" t="s">
        <v>46</v>
      </c>
      <c r="E431" s="8">
        <v>2969</v>
      </c>
      <c r="F431" s="9">
        <v>2113.81</v>
      </c>
      <c r="G431" s="6">
        <v>45589</v>
      </c>
      <c r="H431" s="6">
        <v>45619</v>
      </c>
      <c r="I431" s="7" t="s">
        <v>30</v>
      </c>
      <c r="J431" s="7" t="s">
        <v>20</v>
      </c>
      <c r="K431" s="7" t="s">
        <v>27</v>
      </c>
      <c r="M431" s="13">
        <f t="shared" si="30"/>
        <v>30</v>
      </c>
      <c r="N431" s="14"/>
      <c r="O431" s="15">
        <f t="shared" si="31"/>
        <v>0.711960255978444</v>
      </c>
      <c r="P431" s="16"/>
      <c r="Q431" s="14">
        <f t="shared" si="32"/>
        <v>2</v>
      </c>
      <c r="R431" s="14"/>
      <c r="S431" s="14"/>
      <c r="T431" s="13" t="str">
        <f t="shared" si="33"/>
        <v>On-Time</v>
      </c>
      <c r="U431" s="14"/>
      <c r="V431" s="13" t="str">
        <f t="shared" si="34"/>
        <v>Low Quantity</v>
      </c>
      <c r="W431" s="16"/>
    </row>
    <row r="432" spans="1:23">
      <c r="A432" s="5" t="s">
        <v>491</v>
      </c>
      <c r="B432" s="6">
        <v>45381</v>
      </c>
      <c r="C432" s="7" t="s">
        <v>17</v>
      </c>
      <c r="D432" s="7" t="s">
        <v>25</v>
      </c>
      <c r="E432" s="5">
        <v>262</v>
      </c>
      <c r="F432" s="9">
        <v>641.67</v>
      </c>
      <c r="G432" s="6">
        <v>45384</v>
      </c>
      <c r="H432" s="6">
        <v>45424</v>
      </c>
      <c r="I432" s="7" t="s">
        <v>30</v>
      </c>
      <c r="J432" s="7" t="s">
        <v>20</v>
      </c>
      <c r="K432" s="7" t="s">
        <v>21</v>
      </c>
      <c r="M432" s="13">
        <f t="shared" si="30"/>
        <v>40</v>
      </c>
      <c r="N432" s="14"/>
      <c r="O432" s="15">
        <f t="shared" si="31"/>
        <v>2.44912213740458</v>
      </c>
      <c r="P432" s="16"/>
      <c r="Q432" s="14">
        <f t="shared" si="32"/>
        <v>3</v>
      </c>
      <c r="R432" s="14"/>
      <c r="S432" s="14"/>
      <c r="T432" s="13" t="str">
        <f t="shared" si="33"/>
        <v>Delayed</v>
      </c>
      <c r="U432" s="14"/>
      <c r="V432" s="13" t="str">
        <f t="shared" si="34"/>
        <v>Low Quantity</v>
      </c>
      <c r="W432" s="16"/>
    </row>
    <row r="433" spans="1:23">
      <c r="A433" s="5" t="s">
        <v>492</v>
      </c>
      <c r="B433" s="6">
        <v>45437</v>
      </c>
      <c r="C433" s="7" t="s">
        <v>76</v>
      </c>
      <c r="D433" s="7" t="s">
        <v>51</v>
      </c>
      <c r="E433" s="8">
        <v>4609</v>
      </c>
      <c r="F433" s="9">
        <v>1979.8</v>
      </c>
      <c r="G433" s="6">
        <v>45438</v>
      </c>
      <c r="H433" s="6">
        <v>45441</v>
      </c>
      <c r="I433" s="7" t="s">
        <v>19</v>
      </c>
      <c r="J433" s="7" t="s">
        <v>59</v>
      </c>
      <c r="K433" s="7" t="s">
        <v>27</v>
      </c>
      <c r="M433" s="13">
        <f t="shared" si="30"/>
        <v>3</v>
      </c>
      <c r="N433" s="14"/>
      <c r="O433" s="15">
        <f t="shared" si="31"/>
        <v>0.429550878715557</v>
      </c>
      <c r="P433" s="16"/>
      <c r="Q433" s="14">
        <f t="shared" si="32"/>
        <v>1</v>
      </c>
      <c r="R433" s="14"/>
      <c r="S433" s="14"/>
      <c r="T433" s="13" t="str">
        <f t="shared" si="33"/>
        <v>On-Time</v>
      </c>
      <c r="U433" s="14"/>
      <c r="V433" s="13" t="str">
        <f t="shared" si="34"/>
        <v>High Quantity</v>
      </c>
      <c r="W433" s="16"/>
    </row>
    <row r="434" spans="1:23">
      <c r="A434" s="5" t="s">
        <v>493</v>
      </c>
      <c r="B434" s="6">
        <v>46016</v>
      </c>
      <c r="C434" s="7" t="s">
        <v>58</v>
      </c>
      <c r="D434" s="7" t="s">
        <v>100</v>
      </c>
      <c r="E434" s="8">
        <v>3055</v>
      </c>
      <c r="F434" s="9">
        <v>2571.56</v>
      </c>
      <c r="G434" s="6">
        <v>46018</v>
      </c>
      <c r="H434" s="6">
        <v>46023</v>
      </c>
      <c r="I434" s="7" t="s">
        <v>30</v>
      </c>
      <c r="J434" s="7" t="s">
        <v>26</v>
      </c>
      <c r="K434" s="7" t="s">
        <v>27</v>
      </c>
      <c r="M434" s="13">
        <f t="shared" si="30"/>
        <v>5</v>
      </c>
      <c r="N434" s="14"/>
      <c r="O434" s="15">
        <f t="shared" si="31"/>
        <v>0.841754500818331</v>
      </c>
      <c r="P434" s="16"/>
      <c r="Q434" s="14">
        <f t="shared" si="32"/>
        <v>2</v>
      </c>
      <c r="R434" s="14"/>
      <c r="S434" s="14"/>
      <c r="T434" s="13" t="str">
        <f t="shared" si="33"/>
        <v>On-Time</v>
      </c>
      <c r="U434" s="14"/>
      <c r="V434" s="13" t="str">
        <f t="shared" si="34"/>
        <v>High Quantity</v>
      </c>
      <c r="W434" s="16"/>
    </row>
    <row r="435" spans="1:23">
      <c r="A435" s="5" t="s">
        <v>494</v>
      </c>
      <c r="B435" s="6">
        <v>45514</v>
      </c>
      <c r="C435" s="7" t="s">
        <v>38</v>
      </c>
      <c r="D435" s="7" t="s">
        <v>46</v>
      </c>
      <c r="E435" s="5">
        <v>674</v>
      </c>
      <c r="F435" s="9">
        <v>3891.05</v>
      </c>
      <c r="G435" s="6">
        <v>45515</v>
      </c>
      <c r="H435" s="6">
        <v>45518</v>
      </c>
      <c r="I435" s="7" t="s">
        <v>35</v>
      </c>
      <c r="J435" s="7" t="s">
        <v>26</v>
      </c>
      <c r="K435" s="7" t="s">
        <v>27</v>
      </c>
      <c r="M435" s="13">
        <f t="shared" si="30"/>
        <v>3</v>
      </c>
      <c r="N435" s="14"/>
      <c r="O435" s="15">
        <f t="shared" si="31"/>
        <v>5.77307121661721</v>
      </c>
      <c r="P435" s="16"/>
      <c r="Q435" s="14">
        <f t="shared" si="32"/>
        <v>1</v>
      </c>
      <c r="R435" s="14"/>
      <c r="S435" s="14"/>
      <c r="T435" s="13" t="str">
        <f t="shared" si="33"/>
        <v>On-Time</v>
      </c>
      <c r="U435" s="14"/>
      <c r="V435" s="13" t="str">
        <f t="shared" si="34"/>
        <v>Low Quantity</v>
      </c>
      <c r="W435" s="16"/>
    </row>
    <row r="436" spans="1:23">
      <c r="A436" s="5" t="s">
        <v>495</v>
      </c>
      <c r="B436" s="6">
        <v>45619</v>
      </c>
      <c r="C436" s="7" t="s">
        <v>92</v>
      </c>
      <c r="D436" s="7" t="s">
        <v>81</v>
      </c>
      <c r="E436" s="8">
        <v>2405</v>
      </c>
      <c r="F436" s="9">
        <v>1549.34</v>
      </c>
      <c r="G436" s="6">
        <v>45621</v>
      </c>
      <c r="H436" s="6">
        <v>45629</v>
      </c>
      <c r="I436" s="7" t="s">
        <v>49</v>
      </c>
      <c r="J436" s="7" t="s">
        <v>44</v>
      </c>
      <c r="K436" s="7" t="s">
        <v>27</v>
      </c>
      <c r="M436" s="13">
        <f t="shared" si="30"/>
        <v>8</v>
      </c>
      <c r="N436" s="14"/>
      <c r="O436" s="15">
        <f t="shared" si="31"/>
        <v>0.644216216216216</v>
      </c>
      <c r="P436" s="16"/>
      <c r="Q436" s="14">
        <f t="shared" si="32"/>
        <v>2</v>
      </c>
      <c r="R436" s="14"/>
      <c r="S436" s="14"/>
      <c r="T436" s="13" t="str">
        <f t="shared" si="33"/>
        <v>On-Time</v>
      </c>
      <c r="U436" s="14"/>
      <c r="V436" s="13" t="str">
        <f t="shared" si="34"/>
        <v>Low Quantity</v>
      </c>
      <c r="W436" s="16"/>
    </row>
    <row r="437" spans="1:23">
      <c r="A437" s="5" t="s">
        <v>496</v>
      </c>
      <c r="B437" s="6">
        <v>45562</v>
      </c>
      <c r="C437" s="7" t="s">
        <v>29</v>
      </c>
      <c r="D437" s="7" t="s">
        <v>77</v>
      </c>
      <c r="E437" s="8">
        <v>3159</v>
      </c>
      <c r="F437" s="9">
        <v>12348.35</v>
      </c>
      <c r="G437" s="6">
        <v>45563</v>
      </c>
      <c r="H437" s="6">
        <v>45576</v>
      </c>
      <c r="I437" s="7" t="s">
        <v>49</v>
      </c>
      <c r="J437" s="7" t="s">
        <v>44</v>
      </c>
      <c r="K437" s="7" t="s">
        <v>21</v>
      </c>
      <c r="M437" s="13">
        <f t="shared" si="30"/>
        <v>13</v>
      </c>
      <c r="N437" s="14"/>
      <c r="O437" s="15">
        <f t="shared" si="31"/>
        <v>3.90894270338715</v>
      </c>
      <c r="P437" s="16"/>
      <c r="Q437" s="14">
        <f t="shared" si="32"/>
        <v>1</v>
      </c>
      <c r="R437" s="14"/>
      <c r="S437" s="14"/>
      <c r="T437" s="13" t="str">
        <f t="shared" si="33"/>
        <v>Delayed</v>
      </c>
      <c r="U437" s="14"/>
      <c r="V437" s="13" t="str">
        <f t="shared" si="34"/>
        <v>High Quantity</v>
      </c>
      <c r="W437" s="16"/>
    </row>
    <row r="438" spans="1:23">
      <c r="A438" s="5" t="s">
        <v>497</v>
      </c>
      <c r="B438" s="6">
        <v>45647</v>
      </c>
      <c r="C438" s="7" t="s">
        <v>58</v>
      </c>
      <c r="D438" s="7" t="s">
        <v>18</v>
      </c>
      <c r="E438" s="8">
        <v>3990</v>
      </c>
      <c r="F438" s="9">
        <v>6976.88</v>
      </c>
      <c r="G438" s="6">
        <v>45648</v>
      </c>
      <c r="H438" s="6">
        <v>45655</v>
      </c>
      <c r="I438" s="7" t="s">
        <v>49</v>
      </c>
      <c r="J438" s="7" t="s">
        <v>26</v>
      </c>
      <c r="K438" s="7" t="s">
        <v>27</v>
      </c>
      <c r="M438" s="13">
        <f t="shared" si="30"/>
        <v>7</v>
      </c>
      <c r="N438" s="14"/>
      <c r="O438" s="15">
        <f t="shared" si="31"/>
        <v>1.74859147869674</v>
      </c>
      <c r="P438" s="16"/>
      <c r="Q438" s="14">
        <f t="shared" si="32"/>
        <v>1</v>
      </c>
      <c r="R438" s="14"/>
      <c r="S438" s="14"/>
      <c r="T438" s="13" t="str">
        <f t="shared" si="33"/>
        <v>On-Time</v>
      </c>
      <c r="U438" s="14"/>
      <c r="V438" s="13" t="str">
        <f t="shared" si="34"/>
        <v>High Quantity</v>
      </c>
      <c r="W438" s="16"/>
    </row>
    <row r="439" spans="1:23">
      <c r="A439" s="5" t="s">
        <v>498</v>
      </c>
      <c r="B439" s="6">
        <v>45468</v>
      </c>
      <c r="C439" s="7" t="s">
        <v>33</v>
      </c>
      <c r="D439" s="7" t="s">
        <v>41</v>
      </c>
      <c r="E439" s="8">
        <v>3043</v>
      </c>
      <c r="F439" s="9">
        <v>23179.65</v>
      </c>
      <c r="G439" s="6">
        <v>45469</v>
      </c>
      <c r="H439" s="6">
        <v>45476</v>
      </c>
      <c r="I439" s="7" t="s">
        <v>35</v>
      </c>
      <c r="J439" s="7" t="s">
        <v>26</v>
      </c>
      <c r="K439" s="7" t="s">
        <v>27</v>
      </c>
      <c r="M439" s="13">
        <f t="shared" si="30"/>
        <v>7</v>
      </c>
      <c r="N439" s="14"/>
      <c r="O439" s="15">
        <f t="shared" si="31"/>
        <v>7.61736772921459</v>
      </c>
      <c r="P439" s="16"/>
      <c r="Q439" s="14">
        <f t="shared" si="32"/>
        <v>1</v>
      </c>
      <c r="R439" s="14"/>
      <c r="S439" s="14"/>
      <c r="T439" s="13" t="str">
        <f t="shared" si="33"/>
        <v>On-Time</v>
      </c>
      <c r="U439" s="14"/>
      <c r="V439" s="13" t="str">
        <f t="shared" si="34"/>
        <v>High Quantity</v>
      </c>
      <c r="W439" s="16"/>
    </row>
    <row r="440" spans="1:23">
      <c r="A440" s="5" t="s">
        <v>499</v>
      </c>
      <c r="B440" s="6">
        <v>45819</v>
      </c>
      <c r="C440" s="7" t="s">
        <v>38</v>
      </c>
      <c r="D440" s="7" t="s">
        <v>77</v>
      </c>
      <c r="E440" s="8">
        <v>1096</v>
      </c>
      <c r="F440" s="9">
        <v>9121.52</v>
      </c>
      <c r="G440" s="6">
        <v>45820</v>
      </c>
      <c r="H440" s="6">
        <v>45841</v>
      </c>
      <c r="I440" s="7" t="s">
        <v>19</v>
      </c>
      <c r="J440" s="7" t="s">
        <v>20</v>
      </c>
      <c r="K440" s="7" t="s">
        <v>27</v>
      </c>
      <c r="M440" s="13">
        <f t="shared" si="30"/>
        <v>21</v>
      </c>
      <c r="N440" s="14"/>
      <c r="O440" s="15">
        <f t="shared" si="31"/>
        <v>8.32255474452555</v>
      </c>
      <c r="P440" s="16"/>
      <c r="Q440" s="14">
        <f t="shared" si="32"/>
        <v>1</v>
      </c>
      <c r="R440" s="14"/>
      <c r="S440" s="14"/>
      <c r="T440" s="13" t="str">
        <f t="shared" si="33"/>
        <v>On-Time</v>
      </c>
      <c r="U440" s="14"/>
      <c r="V440" s="13" t="str">
        <f t="shared" si="34"/>
        <v>Low Quantity</v>
      </c>
      <c r="W440" s="16"/>
    </row>
    <row r="441" spans="1:23">
      <c r="A441" s="5" t="s">
        <v>500</v>
      </c>
      <c r="B441" s="6">
        <v>45325</v>
      </c>
      <c r="C441" s="7" t="s">
        <v>24</v>
      </c>
      <c r="D441" s="7" t="s">
        <v>46</v>
      </c>
      <c r="E441" s="8">
        <v>4110</v>
      </c>
      <c r="F441" s="9">
        <v>6075.41</v>
      </c>
      <c r="G441" s="6">
        <v>45327</v>
      </c>
      <c r="H441" s="6">
        <v>45335</v>
      </c>
      <c r="I441" s="7" t="s">
        <v>35</v>
      </c>
      <c r="J441" s="7" t="s">
        <v>26</v>
      </c>
      <c r="K441" s="7" t="s">
        <v>27</v>
      </c>
      <c r="M441" s="13">
        <f t="shared" si="30"/>
        <v>8</v>
      </c>
      <c r="N441" s="14"/>
      <c r="O441" s="15">
        <f t="shared" si="31"/>
        <v>1.47820194647202</v>
      </c>
      <c r="P441" s="16"/>
      <c r="Q441" s="14">
        <f t="shared" si="32"/>
        <v>2</v>
      </c>
      <c r="R441" s="14"/>
      <c r="S441" s="14"/>
      <c r="T441" s="13" t="str">
        <f t="shared" si="33"/>
        <v>On-Time</v>
      </c>
      <c r="U441" s="14"/>
      <c r="V441" s="13" t="str">
        <f t="shared" si="34"/>
        <v>High Quantity</v>
      </c>
      <c r="W441" s="16"/>
    </row>
    <row r="442" spans="1:23">
      <c r="A442" s="5" t="s">
        <v>501</v>
      </c>
      <c r="B442" s="6">
        <v>45704</v>
      </c>
      <c r="C442" s="7" t="s">
        <v>17</v>
      </c>
      <c r="D442" s="7" t="s">
        <v>41</v>
      </c>
      <c r="E442" s="8">
        <v>2022</v>
      </c>
      <c r="F442" s="9">
        <v>11805.7</v>
      </c>
      <c r="G442" s="6">
        <v>45707</v>
      </c>
      <c r="H442" s="6">
        <v>45715</v>
      </c>
      <c r="I442" s="7" t="s">
        <v>30</v>
      </c>
      <c r="J442" s="7" t="s">
        <v>26</v>
      </c>
      <c r="K442" s="7" t="s">
        <v>27</v>
      </c>
      <c r="M442" s="13">
        <f t="shared" si="30"/>
        <v>8</v>
      </c>
      <c r="N442" s="14"/>
      <c r="O442" s="15">
        <f t="shared" si="31"/>
        <v>5.83862512363996</v>
      </c>
      <c r="P442" s="16"/>
      <c r="Q442" s="14">
        <f t="shared" si="32"/>
        <v>3</v>
      </c>
      <c r="R442" s="14"/>
      <c r="S442" s="14"/>
      <c r="T442" s="13" t="str">
        <f t="shared" si="33"/>
        <v>On-Time</v>
      </c>
      <c r="U442" s="14"/>
      <c r="V442" s="13" t="str">
        <f t="shared" si="34"/>
        <v>Low Quantity</v>
      </c>
      <c r="W442" s="16"/>
    </row>
    <row r="443" spans="1:23">
      <c r="A443" s="5" t="s">
        <v>502</v>
      </c>
      <c r="B443" s="6">
        <v>45841</v>
      </c>
      <c r="C443" s="7" t="s">
        <v>92</v>
      </c>
      <c r="D443" s="7" t="s">
        <v>81</v>
      </c>
      <c r="E443" s="5">
        <v>294</v>
      </c>
      <c r="F443" s="9">
        <v>1538.85</v>
      </c>
      <c r="G443" s="6">
        <v>45844</v>
      </c>
      <c r="H443" s="6">
        <v>45851</v>
      </c>
      <c r="I443" s="7" t="s">
        <v>49</v>
      </c>
      <c r="J443" s="7" t="s">
        <v>26</v>
      </c>
      <c r="K443" s="7" t="s">
        <v>27</v>
      </c>
      <c r="M443" s="13">
        <f t="shared" si="30"/>
        <v>7</v>
      </c>
      <c r="N443" s="14"/>
      <c r="O443" s="15">
        <f t="shared" si="31"/>
        <v>5.23418367346939</v>
      </c>
      <c r="P443" s="16"/>
      <c r="Q443" s="14">
        <f t="shared" si="32"/>
        <v>3</v>
      </c>
      <c r="R443" s="14"/>
      <c r="S443" s="14"/>
      <c r="T443" s="13" t="str">
        <f t="shared" si="33"/>
        <v>On-Time</v>
      </c>
      <c r="U443" s="14"/>
      <c r="V443" s="13" t="str">
        <f t="shared" si="34"/>
        <v>Low Quantity</v>
      </c>
      <c r="W443" s="16"/>
    </row>
    <row r="444" spans="1:23">
      <c r="A444" s="5" t="s">
        <v>503</v>
      </c>
      <c r="B444" s="6">
        <v>45549</v>
      </c>
      <c r="C444" s="7" t="s">
        <v>54</v>
      </c>
      <c r="D444" s="7" t="s">
        <v>46</v>
      </c>
      <c r="E444" s="8">
        <v>2640</v>
      </c>
      <c r="F444" s="9">
        <v>4882.49</v>
      </c>
      <c r="G444" s="6">
        <v>45551</v>
      </c>
      <c r="H444" s="6">
        <v>45557</v>
      </c>
      <c r="I444" s="7" t="s">
        <v>30</v>
      </c>
      <c r="J444" s="7" t="s">
        <v>26</v>
      </c>
      <c r="K444" s="7" t="s">
        <v>27</v>
      </c>
      <c r="M444" s="13">
        <f t="shared" si="30"/>
        <v>6</v>
      </c>
      <c r="N444" s="14"/>
      <c r="O444" s="15">
        <f t="shared" si="31"/>
        <v>1.84942803030303</v>
      </c>
      <c r="P444" s="16"/>
      <c r="Q444" s="14">
        <f t="shared" si="32"/>
        <v>2</v>
      </c>
      <c r="R444" s="14"/>
      <c r="S444" s="14"/>
      <c r="T444" s="13" t="str">
        <f t="shared" si="33"/>
        <v>On-Time</v>
      </c>
      <c r="U444" s="14"/>
      <c r="V444" s="13" t="str">
        <f t="shared" si="34"/>
        <v>Low Quantity</v>
      </c>
      <c r="W444" s="16"/>
    </row>
    <row r="445" spans="1:23">
      <c r="A445" s="5" t="s">
        <v>504</v>
      </c>
      <c r="B445" s="6">
        <v>45921</v>
      </c>
      <c r="C445" s="7" t="s">
        <v>92</v>
      </c>
      <c r="D445" s="7" t="s">
        <v>18</v>
      </c>
      <c r="E445" s="5">
        <v>733</v>
      </c>
      <c r="F445" s="9">
        <v>1037.82</v>
      </c>
      <c r="G445" s="6">
        <v>45922</v>
      </c>
      <c r="H445" s="6">
        <v>45930</v>
      </c>
      <c r="I445" s="7" t="s">
        <v>19</v>
      </c>
      <c r="J445" s="7" t="s">
        <v>26</v>
      </c>
      <c r="K445" s="7" t="s">
        <v>27</v>
      </c>
      <c r="M445" s="13">
        <f t="shared" si="30"/>
        <v>8</v>
      </c>
      <c r="N445" s="14"/>
      <c r="O445" s="15">
        <f t="shared" si="31"/>
        <v>1.41585266030014</v>
      </c>
      <c r="P445" s="16"/>
      <c r="Q445" s="14">
        <f t="shared" si="32"/>
        <v>1</v>
      </c>
      <c r="R445" s="14"/>
      <c r="S445" s="14"/>
      <c r="T445" s="13" t="str">
        <f t="shared" si="33"/>
        <v>On-Time</v>
      </c>
      <c r="U445" s="14"/>
      <c r="V445" s="13" t="str">
        <f t="shared" si="34"/>
        <v>Low Quantity</v>
      </c>
      <c r="W445" s="16"/>
    </row>
    <row r="446" spans="1:23">
      <c r="A446" s="5" t="s">
        <v>505</v>
      </c>
      <c r="B446" s="6">
        <v>45404</v>
      </c>
      <c r="C446" s="7" t="s">
        <v>76</v>
      </c>
      <c r="D446" s="7" t="s">
        <v>25</v>
      </c>
      <c r="E446" s="8">
        <v>2644</v>
      </c>
      <c r="F446" s="9">
        <v>1407.85</v>
      </c>
      <c r="G446" s="6">
        <v>45405</v>
      </c>
      <c r="H446" s="6">
        <v>45410</v>
      </c>
      <c r="I446" s="7" t="s">
        <v>19</v>
      </c>
      <c r="J446" s="7" t="s">
        <v>26</v>
      </c>
      <c r="K446" s="7" t="s">
        <v>27</v>
      </c>
      <c r="M446" s="13">
        <f t="shared" si="30"/>
        <v>5</v>
      </c>
      <c r="N446" s="14"/>
      <c r="O446" s="15">
        <f t="shared" si="31"/>
        <v>0.532469742813918</v>
      </c>
      <c r="P446" s="16"/>
      <c r="Q446" s="14">
        <f t="shared" si="32"/>
        <v>1</v>
      </c>
      <c r="R446" s="14"/>
      <c r="S446" s="14"/>
      <c r="T446" s="13" t="str">
        <f t="shared" si="33"/>
        <v>On-Time</v>
      </c>
      <c r="U446" s="14"/>
      <c r="V446" s="13" t="str">
        <f t="shared" si="34"/>
        <v>Low Quantity</v>
      </c>
      <c r="W446" s="16"/>
    </row>
    <row r="447" spans="1:23">
      <c r="A447" s="5" t="s">
        <v>506</v>
      </c>
      <c r="B447" s="6">
        <v>45463</v>
      </c>
      <c r="C447" s="7" t="s">
        <v>65</v>
      </c>
      <c r="D447" s="7" t="s">
        <v>18</v>
      </c>
      <c r="E447" s="8">
        <v>3342</v>
      </c>
      <c r="F447" s="9">
        <v>11320.24</v>
      </c>
      <c r="G447" s="6">
        <v>45465</v>
      </c>
      <c r="H447" s="6">
        <v>45493</v>
      </c>
      <c r="I447" s="7" t="s">
        <v>30</v>
      </c>
      <c r="J447" s="7" t="s">
        <v>20</v>
      </c>
      <c r="K447" s="7" t="s">
        <v>27</v>
      </c>
      <c r="M447" s="13">
        <f t="shared" si="30"/>
        <v>28</v>
      </c>
      <c r="N447" s="14"/>
      <c r="O447" s="15">
        <f t="shared" si="31"/>
        <v>3.38726511071215</v>
      </c>
      <c r="P447" s="16"/>
      <c r="Q447" s="14">
        <f t="shared" si="32"/>
        <v>2</v>
      </c>
      <c r="R447" s="14"/>
      <c r="S447" s="14"/>
      <c r="T447" s="13" t="str">
        <f t="shared" si="33"/>
        <v>On-Time</v>
      </c>
      <c r="U447" s="14"/>
      <c r="V447" s="13" t="str">
        <f t="shared" si="34"/>
        <v>High Quantity</v>
      </c>
      <c r="W447" s="16"/>
    </row>
    <row r="448" spans="1:23">
      <c r="A448" s="5" t="s">
        <v>507</v>
      </c>
      <c r="B448" s="6">
        <v>45910</v>
      </c>
      <c r="C448" s="7" t="s">
        <v>24</v>
      </c>
      <c r="D448" s="7" t="s">
        <v>39</v>
      </c>
      <c r="E448" s="5">
        <v>117</v>
      </c>
      <c r="F448" s="9">
        <v>11627.33</v>
      </c>
      <c r="G448" s="6">
        <v>45913</v>
      </c>
      <c r="H448" s="6">
        <v>45920</v>
      </c>
      <c r="I448" s="7" t="s">
        <v>30</v>
      </c>
      <c r="J448" s="7" t="s">
        <v>26</v>
      </c>
      <c r="K448" s="7" t="s">
        <v>27</v>
      </c>
      <c r="M448" s="13">
        <f t="shared" si="30"/>
        <v>7</v>
      </c>
      <c r="N448" s="14"/>
      <c r="O448" s="15">
        <f t="shared" si="31"/>
        <v>99.3788888888889</v>
      </c>
      <c r="P448" s="16"/>
      <c r="Q448" s="14">
        <f t="shared" si="32"/>
        <v>3</v>
      </c>
      <c r="R448" s="14"/>
      <c r="S448" s="14"/>
      <c r="T448" s="13" t="str">
        <f t="shared" si="33"/>
        <v>On-Time</v>
      </c>
      <c r="U448" s="14"/>
      <c r="V448" s="13" t="str">
        <f t="shared" si="34"/>
        <v>Low Quantity</v>
      </c>
      <c r="W448" s="16"/>
    </row>
    <row r="449" spans="1:23">
      <c r="A449" s="5" t="s">
        <v>508</v>
      </c>
      <c r="B449" s="6">
        <v>45954</v>
      </c>
      <c r="C449" s="7" t="s">
        <v>76</v>
      </c>
      <c r="D449" s="7" t="s">
        <v>77</v>
      </c>
      <c r="E449" s="8">
        <v>2245</v>
      </c>
      <c r="F449" s="9">
        <v>14267.66</v>
      </c>
      <c r="G449" s="6">
        <v>45955</v>
      </c>
      <c r="H449" s="6">
        <v>45999</v>
      </c>
      <c r="I449" s="7" t="s">
        <v>19</v>
      </c>
      <c r="J449" s="7" t="s">
        <v>20</v>
      </c>
      <c r="K449" s="7" t="s">
        <v>21</v>
      </c>
      <c r="M449" s="13">
        <f t="shared" si="30"/>
        <v>44</v>
      </c>
      <c r="N449" s="14"/>
      <c r="O449" s="15">
        <f t="shared" si="31"/>
        <v>6.35530512249443</v>
      </c>
      <c r="P449" s="16"/>
      <c r="Q449" s="14">
        <f t="shared" si="32"/>
        <v>1</v>
      </c>
      <c r="R449" s="14"/>
      <c r="S449" s="14"/>
      <c r="T449" s="13" t="str">
        <f t="shared" si="33"/>
        <v>Delayed</v>
      </c>
      <c r="U449" s="14"/>
      <c r="V449" s="13" t="str">
        <f t="shared" si="34"/>
        <v>Low Quantity</v>
      </c>
      <c r="W449" s="16"/>
    </row>
    <row r="450" spans="1:23">
      <c r="A450" s="5" t="s">
        <v>509</v>
      </c>
      <c r="B450" s="6">
        <v>45611</v>
      </c>
      <c r="C450" s="7" t="s">
        <v>92</v>
      </c>
      <c r="D450" s="7" t="s">
        <v>100</v>
      </c>
      <c r="E450" s="8">
        <v>3199</v>
      </c>
      <c r="F450" s="9">
        <v>3977.02</v>
      </c>
      <c r="G450" s="6">
        <v>45613</v>
      </c>
      <c r="H450" s="6">
        <v>45616</v>
      </c>
      <c r="I450" s="7" t="s">
        <v>19</v>
      </c>
      <c r="J450" s="7" t="s">
        <v>26</v>
      </c>
      <c r="K450" s="7" t="s">
        <v>27</v>
      </c>
      <c r="M450" s="13">
        <f t="shared" si="30"/>
        <v>3</v>
      </c>
      <c r="N450" s="14"/>
      <c r="O450" s="15">
        <f t="shared" si="31"/>
        <v>1.24320725226633</v>
      </c>
      <c r="P450" s="16"/>
      <c r="Q450" s="14">
        <f t="shared" si="32"/>
        <v>2</v>
      </c>
      <c r="R450" s="14"/>
      <c r="S450" s="14"/>
      <c r="T450" s="13" t="str">
        <f t="shared" si="33"/>
        <v>On-Time</v>
      </c>
      <c r="U450" s="14"/>
      <c r="V450" s="13" t="str">
        <f t="shared" si="34"/>
        <v>High Quantity</v>
      </c>
      <c r="W450" s="16"/>
    </row>
    <row r="451" spans="1:23">
      <c r="A451" s="5" t="s">
        <v>510</v>
      </c>
      <c r="B451" s="6">
        <v>45347</v>
      </c>
      <c r="C451" s="7" t="s">
        <v>58</v>
      </c>
      <c r="D451" s="7" t="s">
        <v>25</v>
      </c>
      <c r="E451" s="5">
        <v>976</v>
      </c>
      <c r="F451" s="9">
        <v>4218</v>
      </c>
      <c r="G451" s="6">
        <v>45349</v>
      </c>
      <c r="H451" s="6">
        <v>45361</v>
      </c>
      <c r="I451" s="7" t="s">
        <v>30</v>
      </c>
      <c r="J451" s="7" t="s">
        <v>44</v>
      </c>
      <c r="K451" s="7" t="s">
        <v>27</v>
      </c>
      <c r="M451" s="13">
        <f t="shared" ref="M451:M501" si="35">H451-G451</f>
        <v>12</v>
      </c>
      <c r="N451" s="14"/>
      <c r="O451" s="15">
        <f t="shared" ref="O451:O501" si="36">F451/E451</f>
        <v>4.32172131147541</v>
      </c>
      <c r="P451" s="16"/>
      <c r="Q451" s="14">
        <f t="shared" ref="Q451:Q501" si="37">G451-B451</f>
        <v>2</v>
      </c>
      <c r="R451" s="14"/>
      <c r="S451" s="14"/>
      <c r="T451" s="13" t="str">
        <f t="shared" ref="T451:T501" si="38">IF(K451="Yes","On-Time","Delayed")</f>
        <v>On-Time</v>
      </c>
      <c r="U451" s="14"/>
      <c r="V451" s="13" t="str">
        <f t="shared" ref="V451:V501" si="39">IF(E451&gt;=3000,"High Quantity","Low Quantity")</f>
        <v>Low Quantity</v>
      </c>
      <c r="W451" s="16"/>
    </row>
    <row r="452" spans="1:23">
      <c r="A452" s="5" t="s">
        <v>511</v>
      </c>
      <c r="B452" s="6">
        <v>45595</v>
      </c>
      <c r="C452" s="7" t="s">
        <v>87</v>
      </c>
      <c r="D452" s="7" t="s">
        <v>18</v>
      </c>
      <c r="E452" s="8">
        <v>2163</v>
      </c>
      <c r="F452" s="9">
        <v>1124.88</v>
      </c>
      <c r="G452" s="6">
        <v>45598</v>
      </c>
      <c r="H452" s="6">
        <v>45602</v>
      </c>
      <c r="I452" s="7" t="s">
        <v>30</v>
      </c>
      <c r="J452" s="7" t="s">
        <v>59</v>
      </c>
      <c r="K452" s="7" t="s">
        <v>27</v>
      </c>
      <c r="M452" s="13">
        <f t="shared" si="35"/>
        <v>4</v>
      </c>
      <c r="N452" s="14"/>
      <c r="O452" s="15">
        <f t="shared" si="36"/>
        <v>0.52005547850208</v>
      </c>
      <c r="P452" s="16"/>
      <c r="Q452" s="14">
        <f t="shared" si="37"/>
        <v>3</v>
      </c>
      <c r="R452" s="14"/>
      <c r="S452" s="14"/>
      <c r="T452" s="13" t="str">
        <f t="shared" si="38"/>
        <v>On-Time</v>
      </c>
      <c r="U452" s="14"/>
      <c r="V452" s="13" t="str">
        <f t="shared" si="39"/>
        <v>Low Quantity</v>
      </c>
      <c r="W452" s="16"/>
    </row>
    <row r="453" spans="1:23">
      <c r="A453" s="5" t="s">
        <v>512</v>
      </c>
      <c r="B453" s="6">
        <v>45501</v>
      </c>
      <c r="C453" s="7" t="s">
        <v>79</v>
      </c>
      <c r="D453" s="7" t="s">
        <v>46</v>
      </c>
      <c r="E453" s="8">
        <v>1432</v>
      </c>
      <c r="F453" s="9">
        <v>5563.27</v>
      </c>
      <c r="G453" s="6">
        <v>45503</v>
      </c>
      <c r="H453" s="6">
        <v>45512</v>
      </c>
      <c r="I453" s="7" t="s">
        <v>49</v>
      </c>
      <c r="J453" s="7" t="s">
        <v>26</v>
      </c>
      <c r="K453" s="7" t="s">
        <v>21</v>
      </c>
      <c r="M453" s="13">
        <f t="shared" si="35"/>
        <v>9</v>
      </c>
      <c r="N453" s="14"/>
      <c r="O453" s="15">
        <f t="shared" si="36"/>
        <v>3.88496508379888</v>
      </c>
      <c r="P453" s="16"/>
      <c r="Q453" s="14">
        <f t="shared" si="37"/>
        <v>2</v>
      </c>
      <c r="R453" s="14"/>
      <c r="S453" s="14"/>
      <c r="T453" s="13" t="str">
        <f t="shared" si="38"/>
        <v>Delayed</v>
      </c>
      <c r="U453" s="14"/>
      <c r="V453" s="13" t="str">
        <f t="shared" si="39"/>
        <v>Low Quantity</v>
      </c>
      <c r="W453" s="16"/>
    </row>
    <row r="454" spans="1:23">
      <c r="A454" s="5" t="s">
        <v>513</v>
      </c>
      <c r="B454" s="6">
        <v>45862</v>
      </c>
      <c r="C454" s="7" t="s">
        <v>79</v>
      </c>
      <c r="D454" s="7" t="s">
        <v>25</v>
      </c>
      <c r="E454" s="8">
        <v>3396</v>
      </c>
      <c r="F454" s="9">
        <v>3300.46</v>
      </c>
      <c r="G454" s="6">
        <v>45864</v>
      </c>
      <c r="H454" s="6">
        <v>45867</v>
      </c>
      <c r="I454" s="7" t="s">
        <v>19</v>
      </c>
      <c r="J454" s="7" t="s">
        <v>59</v>
      </c>
      <c r="K454" s="7" t="s">
        <v>27</v>
      </c>
      <c r="M454" s="13">
        <f t="shared" si="35"/>
        <v>3</v>
      </c>
      <c r="N454" s="14"/>
      <c r="O454" s="15">
        <f t="shared" si="36"/>
        <v>0.971866902237927</v>
      </c>
      <c r="P454" s="16"/>
      <c r="Q454" s="14">
        <f t="shared" si="37"/>
        <v>2</v>
      </c>
      <c r="R454" s="14"/>
      <c r="S454" s="14"/>
      <c r="T454" s="13" t="str">
        <f t="shared" si="38"/>
        <v>On-Time</v>
      </c>
      <c r="U454" s="14"/>
      <c r="V454" s="13" t="str">
        <f t="shared" si="39"/>
        <v>High Quantity</v>
      </c>
      <c r="W454" s="16"/>
    </row>
    <row r="455" spans="1:23">
      <c r="A455" s="5" t="s">
        <v>514</v>
      </c>
      <c r="B455" s="6">
        <v>45613</v>
      </c>
      <c r="C455" s="7" t="s">
        <v>65</v>
      </c>
      <c r="D455" s="7" t="s">
        <v>41</v>
      </c>
      <c r="E455" s="8">
        <v>1110</v>
      </c>
      <c r="F455" s="9">
        <v>5719.12</v>
      </c>
      <c r="G455" s="6">
        <v>45616</v>
      </c>
      <c r="H455" s="6">
        <v>45619</v>
      </c>
      <c r="I455" s="7" t="s">
        <v>19</v>
      </c>
      <c r="J455" s="7" t="s">
        <v>59</v>
      </c>
      <c r="K455" s="7" t="s">
        <v>27</v>
      </c>
      <c r="M455" s="13">
        <f t="shared" si="35"/>
        <v>3</v>
      </c>
      <c r="N455" s="14"/>
      <c r="O455" s="15">
        <f t="shared" si="36"/>
        <v>5.15236036036036</v>
      </c>
      <c r="P455" s="16"/>
      <c r="Q455" s="14">
        <f t="shared" si="37"/>
        <v>3</v>
      </c>
      <c r="R455" s="14"/>
      <c r="S455" s="14"/>
      <c r="T455" s="13" t="str">
        <f t="shared" si="38"/>
        <v>On-Time</v>
      </c>
      <c r="U455" s="14"/>
      <c r="V455" s="13" t="str">
        <f t="shared" si="39"/>
        <v>Low Quantity</v>
      </c>
      <c r="W455" s="16"/>
    </row>
    <row r="456" spans="1:23">
      <c r="A456" s="5" t="s">
        <v>515</v>
      </c>
      <c r="B456" s="6">
        <v>45548</v>
      </c>
      <c r="C456" s="7" t="s">
        <v>65</v>
      </c>
      <c r="D456" s="7" t="s">
        <v>46</v>
      </c>
      <c r="E456" s="8">
        <v>1294</v>
      </c>
      <c r="F456" s="9">
        <v>7673.26</v>
      </c>
      <c r="G456" s="6">
        <v>45550</v>
      </c>
      <c r="H456" s="6">
        <v>45555</v>
      </c>
      <c r="I456" s="7" t="s">
        <v>30</v>
      </c>
      <c r="J456" s="7" t="s">
        <v>26</v>
      </c>
      <c r="K456" s="7" t="s">
        <v>27</v>
      </c>
      <c r="M456" s="13">
        <f t="shared" si="35"/>
        <v>5</v>
      </c>
      <c r="N456" s="14"/>
      <c r="O456" s="15">
        <f t="shared" si="36"/>
        <v>5.92987635239567</v>
      </c>
      <c r="P456" s="16"/>
      <c r="Q456" s="14">
        <f t="shared" si="37"/>
        <v>2</v>
      </c>
      <c r="R456" s="14"/>
      <c r="S456" s="14"/>
      <c r="T456" s="13" t="str">
        <f t="shared" si="38"/>
        <v>On-Time</v>
      </c>
      <c r="U456" s="14"/>
      <c r="V456" s="13" t="str">
        <f t="shared" si="39"/>
        <v>Low Quantity</v>
      </c>
      <c r="W456" s="16"/>
    </row>
    <row r="457" spans="1:23">
      <c r="A457" s="5" t="s">
        <v>516</v>
      </c>
      <c r="B457" s="6">
        <v>45599</v>
      </c>
      <c r="C457" s="7" t="s">
        <v>17</v>
      </c>
      <c r="D457" s="7" t="s">
        <v>34</v>
      </c>
      <c r="E457" s="8">
        <v>3768</v>
      </c>
      <c r="F457" s="9">
        <v>16402.84</v>
      </c>
      <c r="G457" s="6">
        <v>45600</v>
      </c>
      <c r="H457" s="6">
        <v>45610</v>
      </c>
      <c r="I457" s="7" t="s">
        <v>19</v>
      </c>
      <c r="J457" s="7" t="s">
        <v>26</v>
      </c>
      <c r="K457" s="7" t="s">
        <v>21</v>
      </c>
      <c r="M457" s="13">
        <f t="shared" si="35"/>
        <v>10</v>
      </c>
      <c r="N457" s="14"/>
      <c r="O457" s="15">
        <f t="shared" si="36"/>
        <v>4.35319532908705</v>
      </c>
      <c r="P457" s="16"/>
      <c r="Q457" s="14">
        <f t="shared" si="37"/>
        <v>1</v>
      </c>
      <c r="R457" s="14"/>
      <c r="S457" s="14"/>
      <c r="T457" s="13" t="str">
        <f t="shared" si="38"/>
        <v>Delayed</v>
      </c>
      <c r="U457" s="14"/>
      <c r="V457" s="13" t="str">
        <f t="shared" si="39"/>
        <v>High Quantity</v>
      </c>
      <c r="W457" s="16"/>
    </row>
    <row r="458" spans="1:23">
      <c r="A458" s="5" t="s">
        <v>517</v>
      </c>
      <c r="B458" s="6">
        <v>45727</v>
      </c>
      <c r="C458" s="7" t="s">
        <v>79</v>
      </c>
      <c r="D458" s="7" t="s">
        <v>34</v>
      </c>
      <c r="E458" s="8">
        <v>2518</v>
      </c>
      <c r="F458" s="9">
        <v>17005.87</v>
      </c>
      <c r="G458" s="6">
        <v>45730</v>
      </c>
      <c r="H458" s="6">
        <v>45737</v>
      </c>
      <c r="I458" s="7" t="s">
        <v>35</v>
      </c>
      <c r="J458" s="7" t="s">
        <v>44</v>
      </c>
      <c r="K458" s="7" t="s">
        <v>27</v>
      </c>
      <c r="M458" s="13">
        <f t="shared" si="35"/>
        <v>7</v>
      </c>
      <c r="N458" s="14"/>
      <c r="O458" s="15">
        <f t="shared" si="36"/>
        <v>6.75372120730739</v>
      </c>
      <c r="P458" s="16"/>
      <c r="Q458" s="14">
        <f t="shared" si="37"/>
        <v>3</v>
      </c>
      <c r="R458" s="14"/>
      <c r="S458" s="14"/>
      <c r="T458" s="13" t="str">
        <f t="shared" si="38"/>
        <v>On-Time</v>
      </c>
      <c r="U458" s="14"/>
      <c r="V458" s="13" t="str">
        <f t="shared" si="39"/>
        <v>Low Quantity</v>
      </c>
      <c r="W458" s="16"/>
    </row>
    <row r="459" spans="1:23">
      <c r="A459" s="5" t="s">
        <v>518</v>
      </c>
      <c r="B459" s="6">
        <v>45399</v>
      </c>
      <c r="C459" s="7" t="s">
        <v>38</v>
      </c>
      <c r="D459" s="7" t="s">
        <v>39</v>
      </c>
      <c r="E459" s="8">
        <v>3953</v>
      </c>
      <c r="F459" s="9">
        <v>4675</v>
      </c>
      <c r="G459" s="6">
        <v>45400</v>
      </c>
      <c r="H459" s="6">
        <v>45401</v>
      </c>
      <c r="I459" s="7" t="s">
        <v>30</v>
      </c>
      <c r="J459" s="7" t="s">
        <v>59</v>
      </c>
      <c r="K459" s="7" t="s">
        <v>27</v>
      </c>
      <c r="M459" s="13">
        <f t="shared" si="35"/>
        <v>1</v>
      </c>
      <c r="N459" s="14"/>
      <c r="O459" s="15">
        <f t="shared" si="36"/>
        <v>1.18264609157602</v>
      </c>
      <c r="P459" s="16"/>
      <c r="Q459" s="14">
        <f t="shared" si="37"/>
        <v>1</v>
      </c>
      <c r="R459" s="14"/>
      <c r="S459" s="14"/>
      <c r="T459" s="13" t="str">
        <f t="shared" si="38"/>
        <v>On-Time</v>
      </c>
      <c r="U459" s="14"/>
      <c r="V459" s="13" t="str">
        <f t="shared" si="39"/>
        <v>High Quantity</v>
      </c>
      <c r="W459" s="16"/>
    </row>
    <row r="460" spans="1:23">
      <c r="A460" s="5" t="s">
        <v>519</v>
      </c>
      <c r="B460" s="6">
        <v>45706</v>
      </c>
      <c r="C460" s="7" t="s">
        <v>68</v>
      </c>
      <c r="D460" s="7" t="s">
        <v>77</v>
      </c>
      <c r="E460" s="8">
        <v>2584</v>
      </c>
      <c r="F460" s="9">
        <v>10818.57</v>
      </c>
      <c r="G460" s="6">
        <v>45709</v>
      </c>
      <c r="H460" s="6">
        <v>45716</v>
      </c>
      <c r="I460" s="7" t="s">
        <v>35</v>
      </c>
      <c r="J460" s="7" t="s">
        <v>26</v>
      </c>
      <c r="K460" s="7" t="s">
        <v>27</v>
      </c>
      <c r="M460" s="13">
        <f t="shared" si="35"/>
        <v>7</v>
      </c>
      <c r="N460" s="14"/>
      <c r="O460" s="15">
        <f t="shared" si="36"/>
        <v>4.18675309597523</v>
      </c>
      <c r="P460" s="16"/>
      <c r="Q460" s="14">
        <f t="shared" si="37"/>
        <v>3</v>
      </c>
      <c r="R460" s="14"/>
      <c r="S460" s="14"/>
      <c r="T460" s="13" t="str">
        <f t="shared" si="38"/>
        <v>On-Time</v>
      </c>
      <c r="U460" s="14"/>
      <c r="V460" s="13" t="str">
        <f t="shared" si="39"/>
        <v>Low Quantity</v>
      </c>
      <c r="W460" s="16"/>
    </row>
    <row r="461" spans="1:23">
      <c r="A461" s="5" t="s">
        <v>520</v>
      </c>
      <c r="B461" s="6">
        <v>45755</v>
      </c>
      <c r="C461" s="7" t="s">
        <v>24</v>
      </c>
      <c r="D461" s="7" t="s">
        <v>46</v>
      </c>
      <c r="E461" s="8">
        <v>3926</v>
      </c>
      <c r="F461" s="9">
        <v>5911.76</v>
      </c>
      <c r="G461" s="6">
        <v>45758</v>
      </c>
      <c r="H461" s="6">
        <v>45767</v>
      </c>
      <c r="I461" s="7" t="s">
        <v>35</v>
      </c>
      <c r="J461" s="7" t="s">
        <v>44</v>
      </c>
      <c r="K461" s="7" t="s">
        <v>27</v>
      </c>
      <c r="M461" s="13">
        <f t="shared" si="35"/>
        <v>9</v>
      </c>
      <c r="N461" s="14"/>
      <c r="O461" s="15">
        <f t="shared" si="36"/>
        <v>1.50579724910851</v>
      </c>
      <c r="P461" s="16"/>
      <c r="Q461" s="14">
        <f t="shared" si="37"/>
        <v>3</v>
      </c>
      <c r="R461" s="14"/>
      <c r="S461" s="14"/>
      <c r="T461" s="13" t="str">
        <f t="shared" si="38"/>
        <v>On-Time</v>
      </c>
      <c r="U461" s="14"/>
      <c r="V461" s="13" t="str">
        <f t="shared" si="39"/>
        <v>High Quantity</v>
      </c>
      <c r="W461" s="16"/>
    </row>
    <row r="462" spans="1:23">
      <c r="A462" s="5" t="s">
        <v>521</v>
      </c>
      <c r="B462" s="6">
        <v>45411</v>
      </c>
      <c r="C462" s="7" t="s">
        <v>17</v>
      </c>
      <c r="D462" s="7" t="s">
        <v>100</v>
      </c>
      <c r="E462" s="8">
        <v>4911</v>
      </c>
      <c r="F462" s="9">
        <v>3109.24</v>
      </c>
      <c r="G462" s="6">
        <v>45413</v>
      </c>
      <c r="H462" s="6">
        <v>45416</v>
      </c>
      <c r="I462" s="7" t="s">
        <v>49</v>
      </c>
      <c r="J462" s="7" t="s">
        <v>59</v>
      </c>
      <c r="K462" s="7" t="s">
        <v>27</v>
      </c>
      <c r="M462" s="13">
        <f t="shared" si="35"/>
        <v>3</v>
      </c>
      <c r="N462" s="14"/>
      <c r="O462" s="15">
        <f t="shared" si="36"/>
        <v>0.633117491345958</v>
      </c>
      <c r="P462" s="16"/>
      <c r="Q462" s="14">
        <f t="shared" si="37"/>
        <v>2</v>
      </c>
      <c r="R462" s="14"/>
      <c r="S462" s="14"/>
      <c r="T462" s="13" t="str">
        <f t="shared" si="38"/>
        <v>On-Time</v>
      </c>
      <c r="U462" s="14"/>
      <c r="V462" s="13" t="str">
        <f t="shared" si="39"/>
        <v>High Quantity</v>
      </c>
      <c r="W462" s="16"/>
    </row>
    <row r="463" spans="1:23">
      <c r="A463" s="5" t="s">
        <v>522</v>
      </c>
      <c r="B463" s="6">
        <v>45561</v>
      </c>
      <c r="C463" s="7" t="s">
        <v>79</v>
      </c>
      <c r="D463" s="7" t="s">
        <v>100</v>
      </c>
      <c r="E463" s="5">
        <v>769</v>
      </c>
      <c r="F463" s="9">
        <v>5618.69</v>
      </c>
      <c r="G463" s="6">
        <v>45563</v>
      </c>
      <c r="H463" s="6">
        <v>45567</v>
      </c>
      <c r="I463" s="7" t="s">
        <v>30</v>
      </c>
      <c r="J463" s="7" t="s">
        <v>26</v>
      </c>
      <c r="K463" s="7" t="s">
        <v>27</v>
      </c>
      <c r="M463" s="13">
        <f t="shared" si="35"/>
        <v>4</v>
      </c>
      <c r="N463" s="14"/>
      <c r="O463" s="15">
        <f t="shared" si="36"/>
        <v>7.306488946684</v>
      </c>
      <c r="P463" s="16"/>
      <c r="Q463" s="14">
        <f t="shared" si="37"/>
        <v>2</v>
      </c>
      <c r="R463" s="14"/>
      <c r="S463" s="14"/>
      <c r="T463" s="13" t="str">
        <f t="shared" si="38"/>
        <v>On-Time</v>
      </c>
      <c r="U463" s="14"/>
      <c r="V463" s="13" t="str">
        <f t="shared" si="39"/>
        <v>Low Quantity</v>
      </c>
      <c r="W463" s="16"/>
    </row>
    <row r="464" spans="1:23">
      <c r="A464" s="5" t="s">
        <v>523</v>
      </c>
      <c r="B464" s="6">
        <v>45986</v>
      </c>
      <c r="C464" s="7" t="s">
        <v>54</v>
      </c>
      <c r="D464" s="7" t="s">
        <v>81</v>
      </c>
      <c r="E464" s="5">
        <v>149</v>
      </c>
      <c r="F464" s="9">
        <v>1424.81</v>
      </c>
      <c r="G464" s="6">
        <v>45988</v>
      </c>
      <c r="H464" s="6">
        <v>45991</v>
      </c>
      <c r="I464" s="7" t="s">
        <v>30</v>
      </c>
      <c r="J464" s="7" t="s">
        <v>26</v>
      </c>
      <c r="K464" s="7" t="s">
        <v>27</v>
      </c>
      <c r="M464" s="13">
        <f t="shared" si="35"/>
        <v>3</v>
      </c>
      <c r="N464" s="14"/>
      <c r="O464" s="15">
        <f t="shared" si="36"/>
        <v>9.56248322147651</v>
      </c>
      <c r="P464" s="16"/>
      <c r="Q464" s="14">
        <f t="shared" si="37"/>
        <v>2</v>
      </c>
      <c r="R464" s="14"/>
      <c r="S464" s="14"/>
      <c r="T464" s="13" t="str">
        <f t="shared" si="38"/>
        <v>On-Time</v>
      </c>
      <c r="U464" s="14"/>
      <c r="V464" s="13" t="str">
        <f t="shared" si="39"/>
        <v>Low Quantity</v>
      </c>
      <c r="W464" s="16"/>
    </row>
    <row r="465" spans="1:23">
      <c r="A465" s="5" t="s">
        <v>524</v>
      </c>
      <c r="B465" s="6">
        <v>45936</v>
      </c>
      <c r="C465" s="7" t="s">
        <v>38</v>
      </c>
      <c r="D465" s="7" t="s">
        <v>46</v>
      </c>
      <c r="E465" s="8">
        <v>1497</v>
      </c>
      <c r="F465" s="9">
        <v>5201.99</v>
      </c>
      <c r="G465" s="6">
        <v>45938</v>
      </c>
      <c r="H465" s="6">
        <v>45944</v>
      </c>
      <c r="I465" s="7" t="s">
        <v>30</v>
      </c>
      <c r="J465" s="7" t="s">
        <v>44</v>
      </c>
      <c r="K465" s="7" t="s">
        <v>27</v>
      </c>
      <c r="M465" s="13">
        <f t="shared" si="35"/>
        <v>6</v>
      </c>
      <c r="N465" s="14"/>
      <c r="O465" s="15">
        <f t="shared" si="36"/>
        <v>3.47494321977288</v>
      </c>
      <c r="P465" s="16"/>
      <c r="Q465" s="14">
        <f t="shared" si="37"/>
        <v>2</v>
      </c>
      <c r="R465" s="14"/>
      <c r="S465" s="14"/>
      <c r="T465" s="13" t="str">
        <f t="shared" si="38"/>
        <v>On-Time</v>
      </c>
      <c r="U465" s="14"/>
      <c r="V465" s="13" t="str">
        <f t="shared" si="39"/>
        <v>Low Quantity</v>
      </c>
      <c r="W465" s="16"/>
    </row>
    <row r="466" spans="1:23">
      <c r="A466" s="5" t="s">
        <v>525</v>
      </c>
      <c r="B466" s="6">
        <v>45776</v>
      </c>
      <c r="C466" s="7" t="s">
        <v>58</v>
      </c>
      <c r="D466" s="7" t="s">
        <v>18</v>
      </c>
      <c r="E466" s="8">
        <v>1720</v>
      </c>
      <c r="F466" s="9">
        <v>4131.88</v>
      </c>
      <c r="G466" s="6">
        <v>45778</v>
      </c>
      <c r="H466" s="6">
        <v>45781</v>
      </c>
      <c r="I466" s="7" t="s">
        <v>19</v>
      </c>
      <c r="J466" s="7" t="s">
        <v>59</v>
      </c>
      <c r="K466" s="7" t="s">
        <v>27</v>
      </c>
      <c r="M466" s="13">
        <f t="shared" si="35"/>
        <v>3</v>
      </c>
      <c r="N466" s="14"/>
      <c r="O466" s="15">
        <f t="shared" si="36"/>
        <v>2.40225581395349</v>
      </c>
      <c r="P466" s="16"/>
      <c r="Q466" s="14">
        <f t="shared" si="37"/>
        <v>2</v>
      </c>
      <c r="R466" s="14"/>
      <c r="S466" s="14"/>
      <c r="T466" s="13" t="str">
        <f t="shared" si="38"/>
        <v>On-Time</v>
      </c>
      <c r="U466" s="14"/>
      <c r="V466" s="13" t="str">
        <f t="shared" si="39"/>
        <v>Low Quantity</v>
      </c>
      <c r="W466" s="16"/>
    </row>
    <row r="467" spans="1:23">
      <c r="A467" s="5" t="s">
        <v>526</v>
      </c>
      <c r="B467" s="6">
        <v>45362</v>
      </c>
      <c r="C467" s="7" t="s">
        <v>68</v>
      </c>
      <c r="D467" s="7" t="s">
        <v>41</v>
      </c>
      <c r="E467" s="8">
        <v>3287</v>
      </c>
      <c r="F467" s="9">
        <v>18306.53</v>
      </c>
      <c r="G467" s="6">
        <v>45363</v>
      </c>
      <c r="H467" s="6">
        <v>45366</v>
      </c>
      <c r="I467" s="7" t="s">
        <v>30</v>
      </c>
      <c r="J467" s="7" t="s">
        <v>59</v>
      </c>
      <c r="K467" s="7" t="s">
        <v>27</v>
      </c>
      <c r="M467" s="13">
        <f t="shared" si="35"/>
        <v>3</v>
      </c>
      <c r="N467" s="14"/>
      <c r="O467" s="15">
        <f t="shared" si="36"/>
        <v>5.56937328871311</v>
      </c>
      <c r="P467" s="16"/>
      <c r="Q467" s="14">
        <f t="shared" si="37"/>
        <v>1</v>
      </c>
      <c r="R467" s="14"/>
      <c r="S467" s="14"/>
      <c r="T467" s="13" t="str">
        <f t="shared" si="38"/>
        <v>On-Time</v>
      </c>
      <c r="U467" s="14"/>
      <c r="V467" s="13" t="str">
        <f t="shared" si="39"/>
        <v>High Quantity</v>
      </c>
      <c r="W467" s="16"/>
    </row>
    <row r="468" spans="1:23">
      <c r="A468" s="5" t="s">
        <v>527</v>
      </c>
      <c r="B468" s="6">
        <v>45584</v>
      </c>
      <c r="C468" s="7" t="s">
        <v>92</v>
      </c>
      <c r="D468" s="7" t="s">
        <v>77</v>
      </c>
      <c r="E468" s="8">
        <v>4776</v>
      </c>
      <c r="F468" s="9">
        <v>9624.06</v>
      </c>
      <c r="G468" s="6">
        <v>45587</v>
      </c>
      <c r="H468" s="6">
        <v>45592</v>
      </c>
      <c r="I468" s="7" t="s">
        <v>49</v>
      </c>
      <c r="J468" s="7" t="s">
        <v>59</v>
      </c>
      <c r="K468" s="7" t="s">
        <v>27</v>
      </c>
      <c r="M468" s="13">
        <f t="shared" si="35"/>
        <v>5</v>
      </c>
      <c r="N468" s="14"/>
      <c r="O468" s="15">
        <f t="shared" si="36"/>
        <v>2.01508793969849</v>
      </c>
      <c r="P468" s="16"/>
      <c r="Q468" s="14">
        <f t="shared" si="37"/>
        <v>3</v>
      </c>
      <c r="R468" s="14"/>
      <c r="S468" s="14"/>
      <c r="T468" s="13" t="str">
        <f t="shared" si="38"/>
        <v>On-Time</v>
      </c>
      <c r="U468" s="14"/>
      <c r="V468" s="13" t="str">
        <f t="shared" si="39"/>
        <v>High Quantity</v>
      </c>
      <c r="W468" s="16"/>
    </row>
    <row r="469" spans="1:23">
      <c r="A469" s="5" t="s">
        <v>528</v>
      </c>
      <c r="B469" s="6">
        <v>45790</v>
      </c>
      <c r="C469" s="7" t="s">
        <v>38</v>
      </c>
      <c r="D469" s="7" t="s">
        <v>81</v>
      </c>
      <c r="E469" s="8">
        <v>4187</v>
      </c>
      <c r="F469" s="9">
        <v>227.55</v>
      </c>
      <c r="G469" s="6">
        <v>45791</v>
      </c>
      <c r="H469" s="6">
        <v>45800</v>
      </c>
      <c r="I469" s="7" t="s">
        <v>35</v>
      </c>
      <c r="J469" s="7" t="s">
        <v>26</v>
      </c>
      <c r="K469" s="7" t="s">
        <v>21</v>
      </c>
      <c r="M469" s="13">
        <f t="shared" si="35"/>
        <v>9</v>
      </c>
      <c r="N469" s="14"/>
      <c r="O469" s="15">
        <f t="shared" si="36"/>
        <v>0.0543467876761404</v>
      </c>
      <c r="P469" s="16"/>
      <c r="Q469" s="14">
        <f t="shared" si="37"/>
        <v>1</v>
      </c>
      <c r="R469" s="14"/>
      <c r="S469" s="14"/>
      <c r="T469" s="13" t="str">
        <f t="shared" si="38"/>
        <v>Delayed</v>
      </c>
      <c r="U469" s="14"/>
      <c r="V469" s="13" t="str">
        <f t="shared" si="39"/>
        <v>High Quantity</v>
      </c>
      <c r="W469" s="16"/>
    </row>
    <row r="470" spans="1:23">
      <c r="A470" s="5" t="s">
        <v>529</v>
      </c>
      <c r="B470" s="6">
        <v>45986</v>
      </c>
      <c r="C470" s="7" t="s">
        <v>87</v>
      </c>
      <c r="D470" s="7" t="s">
        <v>41</v>
      </c>
      <c r="E470" s="8">
        <v>2872</v>
      </c>
      <c r="F470" s="9">
        <v>20623.79</v>
      </c>
      <c r="G470" s="6">
        <v>45988</v>
      </c>
      <c r="H470" s="6">
        <v>45991</v>
      </c>
      <c r="I470" s="7" t="s">
        <v>35</v>
      </c>
      <c r="J470" s="7" t="s">
        <v>59</v>
      </c>
      <c r="K470" s="7" t="s">
        <v>27</v>
      </c>
      <c r="M470" s="13">
        <f t="shared" si="35"/>
        <v>3</v>
      </c>
      <c r="N470" s="14"/>
      <c r="O470" s="15">
        <f t="shared" si="36"/>
        <v>7.18098537604457</v>
      </c>
      <c r="P470" s="16"/>
      <c r="Q470" s="14">
        <f t="shared" si="37"/>
        <v>2</v>
      </c>
      <c r="R470" s="14"/>
      <c r="S470" s="14"/>
      <c r="T470" s="13" t="str">
        <f t="shared" si="38"/>
        <v>On-Time</v>
      </c>
      <c r="U470" s="14"/>
      <c r="V470" s="13" t="str">
        <f t="shared" si="39"/>
        <v>Low Quantity</v>
      </c>
      <c r="W470" s="16"/>
    </row>
    <row r="471" spans="1:23">
      <c r="A471" s="5" t="s">
        <v>530</v>
      </c>
      <c r="B471" s="6">
        <v>45694</v>
      </c>
      <c r="C471" s="7" t="s">
        <v>33</v>
      </c>
      <c r="D471" s="7" t="s">
        <v>46</v>
      </c>
      <c r="E471" s="5">
        <v>276</v>
      </c>
      <c r="F471" s="9">
        <v>666.49</v>
      </c>
      <c r="G471" s="6">
        <v>45697</v>
      </c>
      <c r="H471" s="6">
        <v>45711</v>
      </c>
      <c r="I471" s="7" t="s">
        <v>19</v>
      </c>
      <c r="J471" s="7" t="s">
        <v>44</v>
      </c>
      <c r="K471" s="7" t="s">
        <v>21</v>
      </c>
      <c r="M471" s="13">
        <f t="shared" si="35"/>
        <v>14</v>
      </c>
      <c r="N471" s="14"/>
      <c r="O471" s="15">
        <f t="shared" si="36"/>
        <v>2.41481884057971</v>
      </c>
      <c r="P471" s="16"/>
      <c r="Q471" s="14">
        <f t="shared" si="37"/>
        <v>3</v>
      </c>
      <c r="R471" s="14"/>
      <c r="S471" s="14"/>
      <c r="T471" s="13" t="str">
        <f t="shared" si="38"/>
        <v>Delayed</v>
      </c>
      <c r="U471" s="14"/>
      <c r="V471" s="13" t="str">
        <f t="shared" si="39"/>
        <v>Low Quantity</v>
      </c>
      <c r="W471" s="16"/>
    </row>
    <row r="472" spans="1:23">
      <c r="A472" s="5" t="s">
        <v>531</v>
      </c>
      <c r="B472" s="6">
        <v>45813</v>
      </c>
      <c r="C472" s="7" t="s">
        <v>79</v>
      </c>
      <c r="D472" s="7" t="s">
        <v>25</v>
      </c>
      <c r="E472" s="8">
        <v>2678</v>
      </c>
      <c r="F472" s="9">
        <v>3850.35</v>
      </c>
      <c r="G472" s="6">
        <v>45816</v>
      </c>
      <c r="H472" s="6">
        <v>45822</v>
      </c>
      <c r="I472" s="7" t="s">
        <v>30</v>
      </c>
      <c r="J472" s="7" t="s">
        <v>26</v>
      </c>
      <c r="K472" s="7" t="s">
        <v>27</v>
      </c>
      <c r="M472" s="13">
        <f t="shared" si="35"/>
        <v>6</v>
      </c>
      <c r="N472" s="14"/>
      <c r="O472" s="15">
        <f t="shared" si="36"/>
        <v>1.43777072442121</v>
      </c>
      <c r="P472" s="16"/>
      <c r="Q472" s="14">
        <f t="shared" si="37"/>
        <v>3</v>
      </c>
      <c r="R472" s="14"/>
      <c r="S472" s="14"/>
      <c r="T472" s="13" t="str">
        <f t="shared" si="38"/>
        <v>On-Time</v>
      </c>
      <c r="U472" s="14"/>
      <c r="V472" s="13" t="str">
        <f t="shared" si="39"/>
        <v>Low Quantity</v>
      </c>
      <c r="W472" s="16"/>
    </row>
    <row r="473" spans="1:23">
      <c r="A473" s="5" t="s">
        <v>532</v>
      </c>
      <c r="B473" s="6">
        <v>45715</v>
      </c>
      <c r="C473" s="7" t="s">
        <v>79</v>
      </c>
      <c r="D473" s="7" t="s">
        <v>77</v>
      </c>
      <c r="E473" s="8">
        <v>2990</v>
      </c>
      <c r="F473" s="9">
        <v>8527.47</v>
      </c>
      <c r="G473" s="6">
        <v>45716</v>
      </c>
      <c r="H473" s="6">
        <v>45723</v>
      </c>
      <c r="I473" s="7" t="s">
        <v>30</v>
      </c>
      <c r="J473" s="7" t="s">
        <v>26</v>
      </c>
      <c r="K473" s="7" t="s">
        <v>27</v>
      </c>
      <c r="M473" s="13">
        <f t="shared" si="35"/>
        <v>7</v>
      </c>
      <c r="N473" s="14"/>
      <c r="O473" s="15">
        <f t="shared" si="36"/>
        <v>2.85199665551839</v>
      </c>
      <c r="P473" s="16"/>
      <c r="Q473" s="14">
        <f t="shared" si="37"/>
        <v>1</v>
      </c>
      <c r="R473" s="14"/>
      <c r="S473" s="14"/>
      <c r="T473" s="13" t="str">
        <f t="shared" si="38"/>
        <v>On-Time</v>
      </c>
      <c r="U473" s="14"/>
      <c r="V473" s="13" t="str">
        <f t="shared" si="39"/>
        <v>Low Quantity</v>
      </c>
      <c r="W473" s="16"/>
    </row>
    <row r="474" spans="1:23">
      <c r="A474" s="5" t="s">
        <v>533</v>
      </c>
      <c r="B474" s="6">
        <v>45905</v>
      </c>
      <c r="C474" s="7" t="s">
        <v>94</v>
      </c>
      <c r="D474" s="7" t="s">
        <v>51</v>
      </c>
      <c r="E474" s="8">
        <v>4893</v>
      </c>
      <c r="F474" s="9">
        <v>2871.46</v>
      </c>
      <c r="G474" s="6">
        <v>45907</v>
      </c>
      <c r="H474" s="6">
        <v>45912</v>
      </c>
      <c r="I474" s="7" t="s">
        <v>30</v>
      </c>
      <c r="J474" s="7" t="s">
        <v>44</v>
      </c>
      <c r="K474" s="7" t="s">
        <v>27</v>
      </c>
      <c r="M474" s="13">
        <f t="shared" si="35"/>
        <v>5</v>
      </c>
      <c r="N474" s="14"/>
      <c r="O474" s="15">
        <f t="shared" si="36"/>
        <v>0.586850602902105</v>
      </c>
      <c r="P474" s="16"/>
      <c r="Q474" s="14">
        <f t="shared" si="37"/>
        <v>2</v>
      </c>
      <c r="R474" s="14"/>
      <c r="S474" s="14"/>
      <c r="T474" s="13" t="str">
        <f t="shared" si="38"/>
        <v>On-Time</v>
      </c>
      <c r="U474" s="14"/>
      <c r="V474" s="13" t="str">
        <f t="shared" si="39"/>
        <v>High Quantity</v>
      </c>
      <c r="W474" s="16"/>
    </row>
    <row r="475" spans="1:23">
      <c r="A475" s="5" t="s">
        <v>534</v>
      </c>
      <c r="B475" s="6">
        <v>45322</v>
      </c>
      <c r="C475" s="7" t="s">
        <v>65</v>
      </c>
      <c r="D475" s="7" t="s">
        <v>51</v>
      </c>
      <c r="E475" s="8">
        <v>3581</v>
      </c>
      <c r="F475" s="9">
        <v>1793.86</v>
      </c>
      <c r="G475" s="6">
        <v>45325</v>
      </c>
      <c r="H475" s="6">
        <v>45329</v>
      </c>
      <c r="I475" s="7" t="s">
        <v>35</v>
      </c>
      <c r="J475" s="7" t="s">
        <v>59</v>
      </c>
      <c r="K475" s="7" t="s">
        <v>27</v>
      </c>
      <c r="M475" s="13">
        <f t="shared" si="35"/>
        <v>4</v>
      </c>
      <c r="N475" s="14"/>
      <c r="O475" s="15">
        <f t="shared" si="36"/>
        <v>0.500938285395141</v>
      </c>
      <c r="P475" s="16"/>
      <c r="Q475" s="14">
        <f t="shared" si="37"/>
        <v>3</v>
      </c>
      <c r="R475" s="14"/>
      <c r="S475" s="14"/>
      <c r="T475" s="13" t="str">
        <f t="shared" si="38"/>
        <v>On-Time</v>
      </c>
      <c r="U475" s="14"/>
      <c r="V475" s="13" t="str">
        <f t="shared" si="39"/>
        <v>High Quantity</v>
      </c>
      <c r="W475" s="16"/>
    </row>
    <row r="476" spans="1:23">
      <c r="A476" s="5" t="s">
        <v>535</v>
      </c>
      <c r="B476" s="6">
        <v>45799</v>
      </c>
      <c r="C476" s="7" t="s">
        <v>68</v>
      </c>
      <c r="D476" s="7" t="s">
        <v>77</v>
      </c>
      <c r="E476" s="8">
        <v>1115</v>
      </c>
      <c r="F476" s="9">
        <v>532.92</v>
      </c>
      <c r="G476" s="6">
        <v>45801</v>
      </c>
      <c r="H476" s="6">
        <v>45809</v>
      </c>
      <c r="I476" s="7" t="s">
        <v>19</v>
      </c>
      <c r="J476" s="7" t="s">
        <v>26</v>
      </c>
      <c r="K476" s="7" t="s">
        <v>27</v>
      </c>
      <c r="M476" s="13">
        <f t="shared" si="35"/>
        <v>8</v>
      </c>
      <c r="N476" s="14"/>
      <c r="O476" s="15">
        <f t="shared" si="36"/>
        <v>0.477955156950673</v>
      </c>
      <c r="P476" s="16"/>
      <c r="Q476" s="14">
        <f t="shared" si="37"/>
        <v>2</v>
      </c>
      <c r="R476" s="14"/>
      <c r="S476" s="14"/>
      <c r="T476" s="13" t="str">
        <f t="shared" si="38"/>
        <v>On-Time</v>
      </c>
      <c r="U476" s="14"/>
      <c r="V476" s="13" t="str">
        <f t="shared" si="39"/>
        <v>Low Quantity</v>
      </c>
      <c r="W476" s="16"/>
    </row>
    <row r="477" spans="1:23">
      <c r="A477" s="5" t="s">
        <v>536</v>
      </c>
      <c r="B477" s="6">
        <v>45830</v>
      </c>
      <c r="C477" s="7" t="s">
        <v>29</v>
      </c>
      <c r="D477" s="7" t="s">
        <v>39</v>
      </c>
      <c r="E477" s="8">
        <v>4869</v>
      </c>
      <c r="F477" s="9">
        <v>15448.16</v>
      </c>
      <c r="G477" s="6">
        <v>45831</v>
      </c>
      <c r="H477" s="6">
        <v>45870</v>
      </c>
      <c r="I477" s="7" t="s">
        <v>30</v>
      </c>
      <c r="J477" s="7" t="s">
        <v>20</v>
      </c>
      <c r="K477" s="7" t="s">
        <v>21</v>
      </c>
      <c r="M477" s="13">
        <f t="shared" si="35"/>
        <v>39</v>
      </c>
      <c r="N477" s="14"/>
      <c r="O477" s="15">
        <f t="shared" si="36"/>
        <v>3.17275826658451</v>
      </c>
      <c r="P477" s="16"/>
      <c r="Q477" s="14">
        <f t="shared" si="37"/>
        <v>1</v>
      </c>
      <c r="R477" s="14"/>
      <c r="S477" s="14"/>
      <c r="T477" s="13" t="str">
        <f t="shared" si="38"/>
        <v>Delayed</v>
      </c>
      <c r="U477" s="14"/>
      <c r="V477" s="13" t="str">
        <f t="shared" si="39"/>
        <v>High Quantity</v>
      </c>
      <c r="W477" s="16"/>
    </row>
    <row r="478" spans="1:23">
      <c r="A478" s="5" t="s">
        <v>537</v>
      </c>
      <c r="B478" s="6">
        <v>45933</v>
      </c>
      <c r="C478" s="7" t="s">
        <v>87</v>
      </c>
      <c r="D478" s="7" t="s">
        <v>41</v>
      </c>
      <c r="E478" s="8">
        <v>1027</v>
      </c>
      <c r="F478" s="9">
        <v>13772.76</v>
      </c>
      <c r="G478" s="6">
        <v>45936</v>
      </c>
      <c r="H478" s="6">
        <v>45941</v>
      </c>
      <c r="I478" s="7" t="s">
        <v>19</v>
      </c>
      <c r="J478" s="7" t="s">
        <v>26</v>
      </c>
      <c r="K478" s="7" t="s">
        <v>27</v>
      </c>
      <c r="M478" s="13">
        <f t="shared" si="35"/>
        <v>5</v>
      </c>
      <c r="N478" s="14"/>
      <c r="O478" s="15">
        <f t="shared" si="36"/>
        <v>13.4106718597858</v>
      </c>
      <c r="P478" s="16"/>
      <c r="Q478" s="14">
        <f t="shared" si="37"/>
        <v>3</v>
      </c>
      <c r="R478" s="14"/>
      <c r="S478" s="14"/>
      <c r="T478" s="13" t="str">
        <f t="shared" si="38"/>
        <v>On-Time</v>
      </c>
      <c r="U478" s="14"/>
      <c r="V478" s="13" t="str">
        <f t="shared" si="39"/>
        <v>Low Quantity</v>
      </c>
      <c r="W478" s="16"/>
    </row>
    <row r="479" spans="1:23">
      <c r="A479" s="5" t="s">
        <v>538</v>
      </c>
      <c r="B479" s="6">
        <v>45964</v>
      </c>
      <c r="C479" s="7" t="s">
        <v>92</v>
      </c>
      <c r="D479" s="7" t="s">
        <v>77</v>
      </c>
      <c r="E479" s="8">
        <v>2756</v>
      </c>
      <c r="F479" s="9">
        <v>9268.41</v>
      </c>
      <c r="G479" s="6">
        <v>45967</v>
      </c>
      <c r="H479" s="6">
        <v>45971</v>
      </c>
      <c r="I479" s="7" t="s">
        <v>35</v>
      </c>
      <c r="J479" s="7" t="s">
        <v>59</v>
      </c>
      <c r="K479" s="7" t="s">
        <v>27</v>
      </c>
      <c r="M479" s="13">
        <f t="shared" si="35"/>
        <v>4</v>
      </c>
      <c r="N479" s="14"/>
      <c r="O479" s="15">
        <f t="shared" si="36"/>
        <v>3.36299346879536</v>
      </c>
      <c r="P479" s="16"/>
      <c r="Q479" s="14">
        <f t="shared" si="37"/>
        <v>3</v>
      </c>
      <c r="R479" s="14"/>
      <c r="S479" s="14"/>
      <c r="T479" s="13" t="str">
        <f t="shared" si="38"/>
        <v>On-Time</v>
      </c>
      <c r="U479" s="14"/>
      <c r="V479" s="13" t="str">
        <f t="shared" si="39"/>
        <v>Low Quantity</v>
      </c>
      <c r="W479" s="16"/>
    </row>
    <row r="480" spans="1:23">
      <c r="A480" s="5" t="s">
        <v>539</v>
      </c>
      <c r="B480" s="6">
        <v>45388</v>
      </c>
      <c r="C480" s="7" t="s">
        <v>79</v>
      </c>
      <c r="D480" s="7" t="s">
        <v>39</v>
      </c>
      <c r="E480" s="8">
        <v>3408</v>
      </c>
      <c r="F480" s="9">
        <v>8079.91</v>
      </c>
      <c r="G480" s="6">
        <v>45391</v>
      </c>
      <c r="H480" s="6">
        <v>45394</v>
      </c>
      <c r="I480" s="7" t="s">
        <v>49</v>
      </c>
      <c r="J480" s="7" t="s">
        <v>59</v>
      </c>
      <c r="K480" s="7" t="s">
        <v>27</v>
      </c>
      <c r="M480" s="13">
        <f t="shared" si="35"/>
        <v>3</v>
      </c>
      <c r="N480" s="14"/>
      <c r="O480" s="15">
        <f t="shared" si="36"/>
        <v>2.37086561032864</v>
      </c>
      <c r="P480" s="16"/>
      <c r="Q480" s="14">
        <f t="shared" si="37"/>
        <v>3</v>
      </c>
      <c r="R480" s="14"/>
      <c r="S480" s="14"/>
      <c r="T480" s="13" t="str">
        <f t="shared" si="38"/>
        <v>On-Time</v>
      </c>
      <c r="U480" s="14"/>
      <c r="V480" s="13" t="str">
        <f t="shared" si="39"/>
        <v>High Quantity</v>
      </c>
      <c r="W480" s="16"/>
    </row>
    <row r="481" spans="1:23">
      <c r="A481" s="5" t="s">
        <v>540</v>
      </c>
      <c r="B481" s="6">
        <v>45619</v>
      </c>
      <c r="C481" s="7" t="s">
        <v>33</v>
      </c>
      <c r="D481" s="7" t="s">
        <v>77</v>
      </c>
      <c r="E481" s="5">
        <v>144</v>
      </c>
      <c r="F481" s="9">
        <v>2969.78</v>
      </c>
      <c r="G481" s="6">
        <v>45622</v>
      </c>
      <c r="H481" s="6">
        <v>45630</v>
      </c>
      <c r="I481" s="7" t="s">
        <v>49</v>
      </c>
      <c r="J481" s="7" t="s">
        <v>26</v>
      </c>
      <c r="K481" s="7" t="s">
        <v>27</v>
      </c>
      <c r="M481" s="13">
        <f t="shared" si="35"/>
        <v>8</v>
      </c>
      <c r="N481" s="14"/>
      <c r="O481" s="15">
        <f t="shared" si="36"/>
        <v>20.6234722222222</v>
      </c>
      <c r="P481" s="16"/>
      <c r="Q481" s="14">
        <f t="shared" si="37"/>
        <v>3</v>
      </c>
      <c r="R481" s="14"/>
      <c r="S481" s="14"/>
      <c r="T481" s="13" t="str">
        <f t="shared" si="38"/>
        <v>On-Time</v>
      </c>
      <c r="U481" s="14"/>
      <c r="V481" s="13" t="str">
        <f t="shared" si="39"/>
        <v>Low Quantity</v>
      </c>
      <c r="W481" s="16"/>
    </row>
    <row r="482" spans="1:23">
      <c r="A482" s="5" t="s">
        <v>541</v>
      </c>
      <c r="B482" s="6">
        <v>45975</v>
      </c>
      <c r="C482" s="7" t="s">
        <v>24</v>
      </c>
      <c r="D482" s="7" t="s">
        <v>51</v>
      </c>
      <c r="E482" s="8">
        <v>1593</v>
      </c>
      <c r="F482" s="9">
        <v>14678.96</v>
      </c>
      <c r="G482" s="6">
        <v>45978</v>
      </c>
      <c r="H482" s="6">
        <v>45984</v>
      </c>
      <c r="I482" s="7" t="s">
        <v>19</v>
      </c>
      <c r="J482" s="7" t="s">
        <v>26</v>
      </c>
      <c r="K482" s="7" t="s">
        <v>27</v>
      </c>
      <c r="M482" s="13">
        <f t="shared" si="35"/>
        <v>6</v>
      </c>
      <c r="N482" s="14"/>
      <c r="O482" s="15">
        <f t="shared" si="36"/>
        <v>9.2146641556811</v>
      </c>
      <c r="P482" s="16"/>
      <c r="Q482" s="14">
        <f t="shared" si="37"/>
        <v>3</v>
      </c>
      <c r="R482" s="14"/>
      <c r="S482" s="14"/>
      <c r="T482" s="13" t="str">
        <f t="shared" si="38"/>
        <v>On-Time</v>
      </c>
      <c r="U482" s="14"/>
      <c r="V482" s="13" t="str">
        <f t="shared" si="39"/>
        <v>Low Quantity</v>
      </c>
      <c r="W482" s="16"/>
    </row>
    <row r="483" spans="1:23">
      <c r="A483" s="5" t="s">
        <v>542</v>
      </c>
      <c r="B483" s="6">
        <v>45752</v>
      </c>
      <c r="C483" s="7" t="s">
        <v>92</v>
      </c>
      <c r="D483" s="7" t="s">
        <v>18</v>
      </c>
      <c r="E483" s="8">
        <v>3072</v>
      </c>
      <c r="F483" s="9">
        <v>6602.12</v>
      </c>
      <c r="G483" s="6">
        <v>45755</v>
      </c>
      <c r="H483" s="6">
        <v>45759</v>
      </c>
      <c r="I483" s="7" t="s">
        <v>30</v>
      </c>
      <c r="J483" s="7" t="s">
        <v>26</v>
      </c>
      <c r="K483" s="7" t="s">
        <v>27</v>
      </c>
      <c r="M483" s="13">
        <f t="shared" si="35"/>
        <v>4</v>
      </c>
      <c r="N483" s="14"/>
      <c r="O483" s="15">
        <f t="shared" si="36"/>
        <v>2.14912760416667</v>
      </c>
      <c r="P483" s="16"/>
      <c r="Q483" s="14">
        <f t="shared" si="37"/>
        <v>3</v>
      </c>
      <c r="R483" s="14"/>
      <c r="S483" s="14"/>
      <c r="T483" s="13" t="str">
        <f t="shared" si="38"/>
        <v>On-Time</v>
      </c>
      <c r="U483" s="14"/>
      <c r="V483" s="13" t="str">
        <f t="shared" si="39"/>
        <v>High Quantity</v>
      </c>
      <c r="W483" s="16"/>
    </row>
    <row r="484" spans="1:23">
      <c r="A484" s="5" t="s">
        <v>543</v>
      </c>
      <c r="B484" s="6">
        <v>45677</v>
      </c>
      <c r="C484" s="7" t="s">
        <v>56</v>
      </c>
      <c r="D484" s="7" t="s">
        <v>25</v>
      </c>
      <c r="E484" s="8">
        <v>1740</v>
      </c>
      <c r="F484" s="9">
        <v>2779.74</v>
      </c>
      <c r="G484" s="6">
        <v>45679</v>
      </c>
      <c r="H484" s="6">
        <v>45711</v>
      </c>
      <c r="I484" s="7" t="s">
        <v>19</v>
      </c>
      <c r="J484" s="7" t="s">
        <v>20</v>
      </c>
      <c r="K484" s="7" t="s">
        <v>21</v>
      </c>
      <c r="M484" s="13">
        <f t="shared" si="35"/>
        <v>32</v>
      </c>
      <c r="N484" s="14"/>
      <c r="O484" s="15">
        <f t="shared" si="36"/>
        <v>1.59755172413793</v>
      </c>
      <c r="P484" s="16"/>
      <c r="Q484" s="14">
        <f t="shared" si="37"/>
        <v>2</v>
      </c>
      <c r="R484" s="14"/>
      <c r="S484" s="14"/>
      <c r="T484" s="13" t="str">
        <f t="shared" si="38"/>
        <v>Delayed</v>
      </c>
      <c r="U484" s="14"/>
      <c r="V484" s="13" t="str">
        <f t="shared" si="39"/>
        <v>Low Quantity</v>
      </c>
      <c r="W484" s="16"/>
    </row>
    <row r="485" spans="1:23">
      <c r="A485" s="5" t="s">
        <v>544</v>
      </c>
      <c r="B485" s="6">
        <v>45798</v>
      </c>
      <c r="C485" s="7" t="s">
        <v>79</v>
      </c>
      <c r="D485" s="7" t="s">
        <v>46</v>
      </c>
      <c r="E485" s="8">
        <v>2517</v>
      </c>
      <c r="F485" s="9">
        <v>7062.56</v>
      </c>
      <c r="G485" s="6">
        <v>45801</v>
      </c>
      <c r="H485" s="6">
        <v>45804</v>
      </c>
      <c r="I485" s="7" t="s">
        <v>49</v>
      </c>
      <c r="J485" s="7" t="s">
        <v>59</v>
      </c>
      <c r="K485" s="7" t="s">
        <v>27</v>
      </c>
      <c r="M485" s="13">
        <f t="shared" si="35"/>
        <v>3</v>
      </c>
      <c r="N485" s="14"/>
      <c r="O485" s="15">
        <f t="shared" si="36"/>
        <v>2.80594358363131</v>
      </c>
      <c r="P485" s="16"/>
      <c r="Q485" s="14">
        <f t="shared" si="37"/>
        <v>3</v>
      </c>
      <c r="R485" s="14"/>
      <c r="S485" s="14"/>
      <c r="T485" s="13" t="str">
        <f t="shared" si="38"/>
        <v>On-Time</v>
      </c>
      <c r="U485" s="14"/>
      <c r="V485" s="13" t="str">
        <f t="shared" si="39"/>
        <v>Low Quantity</v>
      </c>
      <c r="W485" s="16"/>
    </row>
    <row r="486" spans="1:23">
      <c r="A486" s="5" t="s">
        <v>545</v>
      </c>
      <c r="B486" s="6">
        <v>45340</v>
      </c>
      <c r="C486" s="7" t="s">
        <v>65</v>
      </c>
      <c r="D486" s="7" t="s">
        <v>81</v>
      </c>
      <c r="E486" s="8">
        <v>3827</v>
      </c>
      <c r="F486" s="9">
        <v>1308.35</v>
      </c>
      <c r="G486" s="6">
        <v>45342</v>
      </c>
      <c r="H486" s="6">
        <v>45347</v>
      </c>
      <c r="I486" s="7" t="s">
        <v>35</v>
      </c>
      <c r="J486" s="7" t="s">
        <v>59</v>
      </c>
      <c r="K486" s="7" t="s">
        <v>27</v>
      </c>
      <c r="M486" s="13">
        <f t="shared" si="35"/>
        <v>5</v>
      </c>
      <c r="N486" s="14"/>
      <c r="O486" s="15">
        <f t="shared" si="36"/>
        <v>0.341873530180298</v>
      </c>
      <c r="P486" s="16"/>
      <c r="Q486" s="14">
        <f t="shared" si="37"/>
        <v>2</v>
      </c>
      <c r="R486" s="14"/>
      <c r="S486" s="14"/>
      <c r="T486" s="13" t="str">
        <f t="shared" si="38"/>
        <v>On-Time</v>
      </c>
      <c r="U486" s="14"/>
      <c r="V486" s="13" t="str">
        <f t="shared" si="39"/>
        <v>High Quantity</v>
      </c>
      <c r="W486" s="16"/>
    </row>
    <row r="487" spans="1:23">
      <c r="A487" s="5" t="s">
        <v>546</v>
      </c>
      <c r="B487" s="6">
        <v>45305</v>
      </c>
      <c r="C487" s="7" t="s">
        <v>92</v>
      </c>
      <c r="D487" s="7" t="s">
        <v>81</v>
      </c>
      <c r="E487" s="8">
        <v>3486</v>
      </c>
      <c r="F487" s="9">
        <v>2232.11</v>
      </c>
      <c r="G487" s="6">
        <v>45308</v>
      </c>
      <c r="H487" s="6">
        <v>45312</v>
      </c>
      <c r="I487" s="7" t="s">
        <v>49</v>
      </c>
      <c r="J487" s="7" t="s">
        <v>26</v>
      </c>
      <c r="K487" s="7" t="s">
        <v>27</v>
      </c>
      <c r="M487" s="13">
        <f t="shared" si="35"/>
        <v>4</v>
      </c>
      <c r="N487" s="14"/>
      <c r="O487" s="15">
        <f t="shared" si="36"/>
        <v>0.64030694205393</v>
      </c>
      <c r="P487" s="16"/>
      <c r="Q487" s="14">
        <f t="shared" si="37"/>
        <v>3</v>
      </c>
      <c r="R487" s="14"/>
      <c r="S487" s="14"/>
      <c r="T487" s="13" t="str">
        <f t="shared" si="38"/>
        <v>On-Time</v>
      </c>
      <c r="U487" s="14"/>
      <c r="V487" s="13" t="str">
        <f t="shared" si="39"/>
        <v>High Quantity</v>
      </c>
      <c r="W487" s="16"/>
    </row>
    <row r="488" spans="1:23">
      <c r="A488" s="5" t="s">
        <v>547</v>
      </c>
      <c r="B488" s="6">
        <v>45835</v>
      </c>
      <c r="C488" s="7" t="s">
        <v>65</v>
      </c>
      <c r="D488" s="7" t="s">
        <v>100</v>
      </c>
      <c r="E488" s="8">
        <v>2444</v>
      </c>
      <c r="F488" s="9">
        <v>587.7</v>
      </c>
      <c r="G488" s="6">
        <v>45838</v>
      </c>
      <c r="H488" s="6">
        <v>45864</v>
      </c>
      <c r="I488" s="7" t="s">
        <v>30</v>
      </c>
      <c r="J488" s="7" t="s">
        <v>20</v>
      </c>
      <c r="K488" s="7" t="s">
        <v>27</v>
      </c>
      <c r="M488" s="13">
        <f t="shared" si="35"/>
        <v>26</v>
      </c>
      <c r="N488" s="14"/>
      <c r="O488" s="15">
        <f t="shared" si="36"/>
        <v>0.240466448445172</v>
      </c>
      <c r="P488" s="16"/>
      <c r="Q488" s="14">
        <f t="shared" si="37"/>
        <v>3</v>
      </c>
      <c r="R488" s="14"/>
      <c r="S488" s="14"/>
      <c r="T488" s="13" t="str">
        <f t="shared" si="38"/>
        <v>On-Time</v>
      </c>
      <c r="U488" s="14"/>
      <c r="V488" s="13" t="str">
        <f t="shared" si="39"/>
        <v>Low Quantity</v>
      </c>
      <c r="W488" s="16"/>
    </row>
    <row r="489" spans="1:23">
      <c r="A489" s="5" t="s">
        <v>548</v>
      </c>
      <c r="B489" s="6">
        <v>45313</v>
      </c>
      <c r="C489" s="7" t="s">
        <v>87</v>
      </c>
      <c r="D489" s="7" t="s">
        <v>77</v>
      </c>
      <c r="E489" s="8">
        <v>1488</v>
      </c>
      <c r="F489" s="9">
        <v>4848.54</v>
      </c>
      <c r="G489" s="6">
        <v>45314</v>
      </c>
      <c r="H489" s="6">
        <v>45317</v>
      </c>
      <c r="I489" s="7" t="s">
        <v>19</v>
      </c>
      <c r="J489" s="7" t="s">
        <v>26</v>
      </c>
      <c r="K489" s="7" t="s">
        <v>27</v>
      </c>
      <c r="M489" s="13">
        <f t="shared" si="35"/>
        <v>3</v>
      </c>
      <c r="N489" s="14"/>
      <c r="O489" s="15">
        <f t="shared" si="36"/>
        <v>3.25842741935484</v>
      </c>
      <c r="P489" s="16"/>
      <c r="Q489" s="14">
        <f t="shared" si="37"/>
        <v>1</v>
      </c>
      <c r="R489" s="14"/>
      <c r="S489" s="14"/>
      <c r="T489" s="13" t="str">
        <f t="shared" si="38"/>
        <v>On-Time</v>
      </c>
      <c r="U489" s="14"/>
      <c r="V489" s="13" t="str">
        <f t="shared" si="39"/>
        <v>Low Quantity</v>
      </c>
      <c r="W489" s="16"/>
    </row>
    <row r="490" spans="1:23">
      <c r="A490" s="5" t="s">
        <v>549</v>
      </c>
      <c r="B490" s="6">
        <v>45615</v>
      </c>
      <c r="C490" s="7" t="s">
        <v>65</v>
      </c>
      <c r="D490" s="7" t="s">
        <v>81</v>
      </c>
      <c r="E490" s="8">
        <v>1449</v>
      </c>
      <c r="F490" s="9">
        <v>1722.5</v>
      </c>
      <c r="G490" s="6">
        <v>45617</v>
      </c>
      <c r="H490" s="6">
        <v>45620</v>
      </c>
      <c r="I490" s="7" t="s">
        <v>30</v>
      </c>
      <c r="J490" s="7" t="s">
        <v>26</v>
      </c>
      <c r="K490" s="7" t="s">
        <v>27</v>
      </c>
      <c r="M490" s="13">
        <f t="shared" si="35"/>
        <v>3</v>
      </c>
      <c r="N490" s="14"/>
      <c r="O490" s="15">
        <f t="shared" si="36"/>
        <v>1.18875086266391</v>
      </c>
      <c r="P490" s="16"/>
      <c r="Q490" s="14">
        <f t="shared" si="37"/>
        <v>2</v>
      </c>
      <c r="R490" s="14"/>
      <c r="S490" s="14"/>
      <c r="T490" s="13" t="str">
        <f t="shared" si="38"/>
        <v>On-Time</v>
      </c>
      <c r="U490" s="14"/>
      <c r="V490" s="13" t="str">
        <f t="shared" si="39"/>
        <v>Low Quantity</v>
      </c>
      <c r="W490" s="16"/>
    </row>
    <row r="491" spans="1:23">
      <c r="A491" s="5" t="s">
        <v>550</v>
      </c>
      <c r="B491" s="6">
        <v>45576</v>
      </c>
      <c r="C491" s="7" t="s">
        <v>56</v>
      </c>
      <c r="D491" s="7" t="s">
        <v>34</v>
      </c>
      <c r="E491" s="8">
        <v>1978</v>
      </c>
      <c r="F491" s="9">
        <v>24815</v>
      </c>
      <c r="G491" s="6">
        <v>45579</v>
      </c>
      <c r="H491" s="6">
        <v>45591</v>
      </c>
      <c r="I491" s="7" t="s">
        <v>30</v>
      </c>
      <c r="J491" s="7" t="s">
        <v>44</v>
      </c>
      <c r="K491" s="7" t="s">
        <v>27</v>
      </c>
      <c r="M491" s="13">
        <f t="shared" si="35"/>
        <v>12</v>
      </c>
      <c r="N491" s="14"/>
      <c r="O491" s="15">
        <f t="shared" si="36"/>
        <v>12.5455005055612</v>
      </c>
      <c r="P491" s="16"/>
      <c r="Q491" s="14">
        <f t="shared" si="37"/>
        <v>3</v>
      </c>
      <c r="R491" s="14"/>
      <c r="S491" s="14"/>
      <c r="T491" s="13" t="str">
        <f t="shared" si="38"/>
        <v>On-Time</v>
      </c>
      <c r="U491" s="14"/>
      <c r="V491" s="13" t="str">
        <f t="shared" si="39"/>
        <v>Low Quantity</v>
      </c>
      <c r="W491" s="16"/>
    </row>
    <row r="492" spans="1:23">
      <c r="A492" s="5" t="s">
        <v>551</v>
      </c>
      <c r="B492" s="6">
        <v>45963</v>
      </c>
      <c r="C492" s="7" t="s">
        <v>24</v>
      </c>
      <c r="D492" s="7" t="s">
        <v>81</v>
      </c>
      <c r="E492" s="8">
        <v>4964</v>
      </c>
      <c r="F492" s="9">
        <v>934.08</v>
      </c>
      <c r="G492" s="6">
        <v>45966</v>
      </c>
      <c r="H492" s="6">
        <v>45969</v>
      </c>
      <c r="I492" s="7" t="s">
        <v>30</v>
      </c>
      <c r="J492" s="7" t="s">
        <v>26</v>
      </c>
      <c r="K492" s="7" t="s">
        <v>27</v>
      </c>
      <c r="M492" s="13">
        <f t="shared" si="35"/>
        <v>3</v>
      </c>
      <c r="N492" s="14"/>
      <c r="O492" s="15">
        <f t="shared" si="36"/>
        <v>0.188170829975826</v>
      </c>
      <c r="P492" s="16"/>
      <c r="Q492" s="14">
        <f t="shared" si="37"/>
        <v>3</v>
      </c>
      <c r="R492" s="14"/>
      <c r="S492" s="14"/>
      <c r="T492" s="13" t="str">
        <f t="shared" si="38"/>
        <v>On-Time</v>
      </c>
      <c r="U492" s="14"/>
      <c r="V492" s="13" t="str">
        <f t="shared" si="39"/>
        <v>High Quantity</v>
      </c>
      <c r="W492" s="16"/>
    </row>
    <row r="493" spans="1:23">
      <c r="A493" s="5" t="s">
        <v>552</v>
      </c>
      <c r="B493" s="6">
        <v>45587</v>
      </c>
      <c r="C493" s="7" t="s">
        <v>29</v>
      </c>
      <c r="D493" s="7" t="s">
        <v>51</v>
      </c>
      <c r="E493" s="8">
        <v>2555</v>
      </c>
      <c r="F493" s="9">
        <v>6424.82</v>
      </c>
      <c r="G493" s="6">
        <v>45588</v>
      </c>
      <c r="H493" s="6">
        <v>45594</v>
      </c>
      <c r="I493" s="7" t="s">
        <v>35</v>
      </c>
      <c r="J493" s="7" t="s">
        <v>26</v>
      </c>
      <c r="K493" s="7" t="s">
        <v>27</v>
      </c>
      <c r="M493" s="13">
        <f t="shared" si="35"/>
        <v>6</v>
      </c>
      <c r="N493" s="14"/>
      <c r="O493" s="15">
        <f t="shared" si="36"/>
        <v>2.51460665362035</v>
      </c>
      <c r="P493" s="16"/>
      <c r="Q493" s="14">
        <f t="shared" si="37"/>
        <v>1</v>
      </c>
      <c r="R493" s="14"/>
      <c r="S493" s="14"/>
      <c r="T493" s="13" t="str">
        <f t="shared" si="38"/>
        <v>On-Time</v>
      </c>
      <c r="U493" s="14"/>
      <c r="V493" s="13" t="str">
        <f t="shared" si="39"/>
        <v>Low Quantity</v>
      </c>
      <c r="W493" s="16"/>
    </row>
    <row r="494" spans="1:23">
      <c r="A494" s="5" t="s">
        <v>553</v>
      </c>
      <c r="B494" s="6">
        <v>45569</v>
      </c>
      <c r="C494" s="7" t="s">
        <v>38</v>
      </c>
      <c r="D494" s="7" t="s">
        <v>46</v>
      </c>
      <c r="E494" s="5">
        <v>644</v>
      </c>
      <c r="F494" s="9">
        <v>7408.56</v>
      </c>
      <c r="G494" s="6">
        <v>45572</v>
      </c>
      <c r="H494" s="6">
        <v>45581</v>
      </c>
      <c r="I494" s="7" t="s">
        <v>19</v>
      </c>
      <c r="J494" s="7" t="s">
        <v>26</v>
      </c>
      <c r="K494" s="7" t="s">
        <v>21</v>
      </c>
      <c r="M494" s="13">
        <f t="shared" si="35"/>
        <v>9</v>
      </c>
      <c r="N494" s="14"/>
      <c r="O494" s="15">
        <f t="shared" si="36"/>
        <v>11.5039751552795</v>
      </c>
      <c r="P494" s="16"/>
      <c r="Q494" s="14">
        <f t="shared" si="37"/>
        <v>3</v>
      </c>
      <c r="R494" s="14"/>
      <c r="S494" s="14"/>
      <c r="T494" s="13" t="str">
        <f t="shared" si="38"/>
        <v>Delayed</v>
      </c>
      <c r="U494" s="14"/>
      <c r="V494" s="13" t="str">
        <f t="shared" si="39"/>
        <v>Low Quantity</v>
      </c>
      <c r="W494" s="16"/>
    </row>
    <row r="495" spans="1:23">
      <c r="A495" s="5" t="s">
        <v>554</v>
      </c>
      <c r="B495" s="6">
        <v>46017</v>
      </c>
      <c r="C495" s="7" t="s">
        <v>33</v>
      </c>
      <c r="D495" s="7" t="s">
        <v>39</v>
      </c>
      <c r="E495" s="8">
        <v>2150</v>
      </c>
      <c r="F495" s="9">
        <v>13881.58</v>
      </c>
      <c r="G495" s="6">
        <v>46019</v>
      </c>
      <c r="H495" s="6">
        <v>46038</v>
      </c>
      <c r="I495" s="7" t="s">
        <v>19</v>
      </c>
      <c r="J495" s="7" t="s">
        <v>20</v>
      </c>
      <c r="K495" s="7" t="s">
        <v>27</v>
      </c>
      <c r="M495" s="13">
        <f t="shared" si="35"/>
        <v>19</v>
      </c>
      <c r="N495" s="14"/>
      <c r="O495" s="15">
        <f t="shared" si="36"/>
        <v>6.4565488372093</v>
      </c>
      <c r="P495" s="16"/>
      <c r="Q495" s="14">
        <f t="shared" si="37"/>
        <v>2</v>
      </c>
      <c r="R495" s="14"/>
      <c r="S495" s="14"/>
      <c r="T495" s="13" t="str">
        <f t="shared" si="38"/>
        <v>On-Time</v>
      </c>
      <c r="U495" s="14"/>
      <c r="V495" s="13" t="str">
        <f t="shared" si="39"/>
        <v>Low Quantity</v>
      </c>
      <c r="W495" s="16"/>
    </row>
    <row r="496" spans="1:23">
      <c r="A496" s="5" t="s">
        <v>555</v>
      </c>
      <c r="B496" s="6">
        <v>45532</v>
      </c>
      <c r="C496" s="7" t="s">
        <v>65</v>
      </c>
      <c r="D496" s="7" t="s">
        <v>39</v>
      </c>
      <c r="E496" s="8">
        <v>1621</v>
      </c>
      <c r="F496" s="9">
        <v>17587.58</v>
      </c>
      <c r="G496" s="6">
        <v>45534</v>
      </c>
      <c r="H496" s="6">
        <v>45538</v>
      </c>
      <c r="I496" s="7" t="s">
        <v>19</v>
      </c>
      <c r="J496" s="7" t="s">
        <v>59</v>
      </c>
      <c r="K496" s="7" t="s">
        <v>27</v>
      </c>
      <c r="M496" s="13">
        <f t="shared" si="35"/>
        <v>4</v>
      </c>
      <c r="N496" s="14"/>
      <c r="O496" s="15">
        <f t="shared" si="36"/>
        <v>10.8498334361505</v>
      </c>
      <c r="P496" s="16"/>
      <c r="Q496" s="14">
        <f t="shared" si="37"/>
        <v>2</v>
      </c>
      <c r="R496" s="14"/>
      <c r="S496" s="14"/>
      <c r="T496" s="13" t="str">
        <f t="shared" si="38"/>
        <v>On-Time</v>
      </c>
      <c r="U496" s="14"/>
      <c r="V496" s="13" t="str">
        <f t="shared" si="39"/>
        <v>Low Quantity</v>
      </c>
      <c r="W496" s="16"/>
    </row>
    <row r="497" spans="1:23">
      <c r="A497" s="5" t="s">
        <v>556</v>
      </c>
      <c r="B497" s="6">
        <v>45836</v>
      </c>
      <c r="C497" s="7" t="s">
        <v>94</v>
      </c>
      <c r="D497" s="7" t="s">
        <v>39</v>
      </c>
      <c r="E497" s="8">
        <v>2404</v>
      </c>
      <c r="F497" s="9">
        <v>16918.74</v>
      </c>
      <c r="G497" s="6">
        <v>45839</v>
      </c>
      <c r="H497" s="6">
        <v>45844</v>
      </c>
      <c r="I497" s="7" t="s">
        <v>19</v>
      </c>
      <c r="J497" s="7" t="s">
        <v>26</v>
      </c>
      <c r="K497" s="7" t="s">
        <v>27</v>
      </c>
      <c r="M497" s="13">
        <f t="shared" si="35"/>
        <v>5</v>
      </c>
      <c r="N497" s="14"/>
      <c r="O497" s="15">
        <f t="shared" si="36"/>
        <v>7.03774542429285</v>
      </c>
      <c r="P497" s="16"/>
      <c r="Q497" s="14">
        <f t="shared" si="37"/>
        <v>3</v>
      </c>
      <c r="R497" s="14"/>
      <c r="S497" s="14"/>
      <c r="T497" s="13" t="str">
        <f t="shared" si="38"/>
        <v>On-Time</v>
      </c>
      <c r="U497" s="14"/>
      <c r="V497" s="13" t="str">
        <f t="shared" si="39"/>
        <v>Low Quantity</v>
      </c>
      <c r="W497" s="16"/>
    </row>
    <row r="498" spans="1:23">
      <c r="A498" s="5" t="s">
        <v>557</v>
      </c>
      <c r="B498" s="6">
        <v>45788</v>
      </c>
      <c r="C498" s="7" t="s">
        <v>87</v>
      </c>
      <c r="D498" s="7" t="s">
        <v>100</v>
      </c>
      <c r="E498" s="5">
        <v>434</v>
      </c>
      <c r="F498" s="9">
        <v>4263.02</v>
      </c>
      <c r="G498" s="6">
        <v>45789</v>
      </c>
      <c r="H498" s="6">
        <v>45798</v>
      </c>
      <c r="I498" s="7" t="s">
        <v>30</v>
      </c>
      <c r="J498" s="7" t="s">
        <v>26</v>
      </c>
      <c r="K498" s="7" t="s">
        <v>21</v>
      </c>
      <c r="M498" s="13">
        <f t="shared" si="35"/>
        <v>9</v>
      </c>
      <c r="N498" s="14"/>
      <c r="O498" s="15">
        <f t="shared" si="36"/>
        <v>9.8226267281106</v>
      </c>
      <c r="P498" s="16"/>
      <c r="Q498" s="14">
        <f t="shared" si="37"/>
        <v>1</v>
      </c>
      <c r="R498" s="14"/>
      <c r="S498" s="14"/>
      <c r="T498" s="13" t="str">
        <f t="shared" si="38"/>
        <v>Delayed</v>
      </c>
      <c r="U498" s="14"/>
      <c r="V498" s="13" t="str">
        <f t="shared" si="39"/>
        <v>Low Quantity</v>
      </c>
      <c r="W498" s="16"/>
    </row>
    <row r="499" spans="1:23">
      <c r="A499" s="5" t="s">
        <v>558</v>
      </c>
      <c r="B499" s="6">
        <v>45945</v>
      </c>
      <c r="C499" s="7" t="s">
        <v>68</v>
      </c>
      <c r="D499" s="7" t="s">
        <v>39</v>
      </c>
      <c r="E499" s="8">
        <v>1185</v>
      </c>
      <c r="F499" s="9">
        <v>4777.71</v>
      </c>
      <c r="G499" s="6">
        <v>45946</v>
      </c>
      <c r="H499" s="6">
        <v>45951</v>
      </c>
      <c r="I499" s="7" t="s">
        <v>35</v>
      </c>
      <c r="J499" s="7" t="s">
        <v>26</v>
      </c>
      <c r="K499" s="7" t="s">
        <v>27</v>
      </c>
      <c r="M499" s="13">
        <f t="shared" si="35"/>
        <v>5</v>
      </c>
      <c r="N499" s="14"/>
      <c r="O499" s="15">
        <f t="shared" si="36"/>
        <v>4.03182278481013</v>
      </c>
      <c r="P499" s="16"/>
      <c r="Q499" s="14">
        <f t="shared" si="37"/>
        <v>1</v>
      </c>
      <c r="R499" s="14"/>
      <c r="S499" s="14"/>
      <c r="T499" s="13" t="str">
        <f t="shared" si="38"/>
        <v>On-Time</v>
      </c>
      <c r="U499" s="14"/>
      <c r="V499" s="13" t="str">
        <f t="shared" si="39"/>
        <v>Low Quantity</v>
      </c>
      <c r="W499" s="16"/>
    </row>
    <row r="500" spans="1:23">
      <c r="A500" s="5" t="s">
        <v>559</v>
      </c>
      <c r="B500" s="6">
        <v>45336</v>
      </c>
      <c r="C500" s="7" t="s">
        <v>29</v>
      </c>
      <c r="D500" s="7" t="s">
        <v>18</v>
      </c>
      <c r="E500" s="8">
        <v>1692</v>
      </c>
      <c r="F500" s="9">
        <v>3694.75</v>
      </c>
      <c r="G500" s="6">
        <v>45339</v>
      </c>
      <c r="H500" s="6">
        <v>45354</v>
      </c>
      <c r="I500" s="7" t="s">
        <v>19</v>
      </c>
      <c r="J500" s="7" t="s">
        <v>20</v>
      </c>
      <c r="K500" s="7" t="s">
        <v>27</v>
      </c>
      <c r="M500" s="13">
        <f t="shared" si="35"/>
        <v>15</v>
      </c>
      <c r="N500" s="14"/>
      <c r="O500" s="15">
        <f t="shared" si="36"/>
        <v>2.18365839243499</v>
      </c>
      <c r="P500" s="16"/>
      <c r="Q500" s="14">
        <f t="shared" si="37"/>
        <v>3</v>
      </c>
      <c r="R500" s="14"/>
      <c r="S500" s="14"/>
      <c r="T500" s="13" t="str">
        <f t="shared" si="38"/>
        <v>On-Time</v>
      </c>
      <c r="U500" s="14"/>
      <c r="V500" s="13" t="str">
        <f t="shared" si="39"/>
        <v>Low Quantity</v>
      </c>
      <c r="W500" s="16"/>
    </row>
    <row r="501" spans="1:23">
      <c r="A501" s="5" t="s">
        <v>560</v>
      </c>
      <c r="B501" s="6">
        <v>45552</v>
      </c>
      <c r="C501" s="7" t="s">
        <v>33</v>
      </c>
      <c r="D501" s="7" t="s">
        <v>77</v>
      </c>
      <c r="E501" s="8">
        <v>2140</v>
      </c>
      <c r="F501" s="9">
        <v>10520.87</v>
      </c>
      <c r="G501" s="6">
        <v>45553</v>
      </c>
      <c r="H501" s="6">
        <v>45561</v>
      </c>
      <c r="I501" s="7" t="s">
        <v>49</v>
      </c>
      <c r="J501" s="7" t="s">
        <v>26</v>
      </c>
      <c r="K501" s="7" t="s">
        <v>27</v>
      </c>
      <c r="M501" s="20">
        <f t="shared" si="35"/>
        <v>8</v>
      </c>
      <c r="N501" s="21"/>
      <c r="O501" s="22">
        <f t="shared" si="36"/>
        <v>4.91629439252336</v>
      </c>
      <c r="P501" s="23"/>
      <c r="Q501" s="21">
        <f t="shared" si="37"/>
        <v>1</v>
      </c>
      <c r="R501" s="21"/>
      <c r="S501" s="21"/>
      <c r="T501" s="20" t="str">
        <f t="shared" si="38"/>
        <v>On-Time</v>
      </c>
      <c r="U501" s="21"/>
      <c r="V501" s="20" t="str">
        <f t="shared" si="39"/>
        <v>Low Quantity</v>
      </c>
      <c r="W501" s="2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267"/>
  <sheetViews>
    <sheetView topLeftCell="A3" workbookViewId="0">
      <selection activeCell="B6" sqref="B6"/>
    </sheetView>
  </sheetViews>
  <sheetFormatPr defaultColWidth="9" defaultRowHeight="15"/>
  <cols>
    <col min="1" max="1" width="19.8571428571429" customWidth="1"/>
    <col min="2" max="2" width="23.2857142857143" customWidth="1"/>
    <col min="3" max="3" width="19.8571428571429" customWidth="1"/>
    <col min="4" max="4" width="16.8571428571429" customWidth="1"/>
    <col min="5" max="5" width="17.8571428571429" customWidth="1"/>
    <col min="6" max="6" width="14.2857142857143" customWidth="1"/>
    <col min="7" max="7" width="12.5714285714286" customWidth="1"/>
    <col min="8" max="8" width="15.8571428571429" customWidth="1"/>
    <col min="9" max="11" width="7.71428571428571" customWidth="1"/>
    <col min="12" max="12" width="20.5714285714286" customWidth="1"/>
    <col min="13" max="13" width="4.42857142857143" customWidth="1"/>
    <col min="14" max="14" width="5.71428571428571" customWidth="1"/>
    <col min="15" max="15" width="4.28571428571429" customWidth="1"/>
    <col min="16" max="16" width="22.1428571428571" customWidth="1"/>
    <col min="17" max="17" width="21" customWidth="1"/>
    <col min="18" max="18" width="25.8571428571429" customWidth="1"/>
    <col min="19" max="19" width="12.5714285714286" customWidth="1"/>
    <col min="20" max="20" width="22.1428571428571" customWidth="1"/>
    <col min="21" max="21" width="21" customWidth="1"/>
    <col min="22" max="22" width="25.8571428571429" customWidth="1"/>
    <col min="23" max="23" width="23.2857142857143" customWidth="1"/>
    <col min="24" max="62" width="8.14285714285714" customWidth="1"/>
    <col min="63" max="369" width="9.71428571428571" customWidth="1"/>
    <col min="370" max="514" width="10.7142857142857" customWidth="1"/>
    <col min="515" max="515" width="22.1428571428571" customWidth="1"/>
    <col min="516" max="516" width="21" customWidth="1"/>
    <col min="517" max="551" width="8.14285714285714" customWidth="1"/>
    <col min="552" max="858" width="9.71428571428571" customWidth="1"/>
    <col min="859" max="1003" width="10.7142857142857" customWidth="1"/>
    <col min="1004" max="1004" width="22.1428571428571" customWidth="1"/>
    <col min="1005" max="1005" width="21" customWidth="1"/>
  </cols>
  <sheetData>
    <row r="3" spans="4:5">
      <c r="D3" t="s">
        <v>561</v>
      </c>
      <c r="E3" t="s">
        <v>9</v>
      </c>
    </row>
    <row r="4" spans="4:18">
      <c r="D4" t="s">
        <v>562</v>
      </c>
      <c r="H4" t="s">
        <v>563</v>
      </c>
      <c r="L4" t="s">
        <v>564</v>
      </c>
      <c r="P4" t="s">
        <v>565</v>
      </c>
      <c r="Q4" t="s">
        <v>566</v>
      </c>
      <c r="R4" t="s">
        <v>567</v>
      </c>
    </row>
    <row r="5" spans="1:15">
      <c r="A5" t="s">
        <v>2</v>
      </c>
      <c r="B5" t="s">
        <v>10</v>
      </c>
      <c r="C5" t="s">
        <v>3</v>
      </c>
      <c r="D5" t="s">
        <v>59</v>
      </c>
      <c r="E5" t="s">
        <v>44</v>
      </c>
      <c r="F5" t="s">
        <v>26</v>
      </c>
      <c r="G5" t="s">
        <v>20</v>
      </c>
      <c r="H5" t="s">
        <v>59</v>
      </c>
      <c r="I5" t="s">
        <v>44</v>
      </c>
      <c r="J5" t="s">
        <v>26</v>
      </c>
      <c r="K5" t="s">
        <v>20</v>
      </c>
      <c r="L5" t="s">
        <v>59</v>
      </c>
      <c r="M5" t="s">
        <v>44</v>
      </c>
      <c r="N5" t="s">
        <v>26</v>
      </c>
      <c r="O5" t="s">
        <v>20</v>
      </c>
    </row>
    <row r="6" spans="1:18">
      <c r="A6" t="s">
        <v>54</v>
      </c>
      <c r="B6" t="s">
        <v>21</v>
      </c>
      <c r="C6" t="s">
        <v>100</v>
      </c>
      <c r="D6" s="1"/>
      <c r="E6" s="1">
        <v>1805.04</v>
      </c>
      <c r="F6" s="1">
        <v>1475.44</v>
      </c>
      <c r="G6" s="1"/>
      <c r="H6" s="2"/>
      <c r="I6" s="2">
        <v>64</v>
      </c>
      <c r="J6" s="2">
        <v>3370</v>
      </c>
      <c r="K6" s="2"/>
      <c r="L6" s="2"/>
      <c r="M6" s="2">
        <v>1</v>
      </c>
      <c r="N6" s="2">
        <v>1</v>
      </c>
      <c r="O6" s="2"/>
      <c r="P6" s="1">
        <v>3280.48</v>
      </c>
      <c r="Q6" s="2">
        <v>3434</v>
      </c>
      <c r="R6" s="2">
        <v>2</v>
      </c>
    </row>
    <row r="7" spans="3:18">
      <c r="C7" t="s">
        <v>34</v>
      </c>
      <c r="D7" s="1"/>
      <c r="E7" s="1"/>
      <c r="F7" s="1">
        <v>35420.66</v>
      </c>
      <c r="G7" s="1"/>
      <c r="H7" s="2"/>
      <c r="I7" s="2"/>
      <c r="J7" s="2">
        <v>7941</v>
      </c>
      <c r="K7" s="2"/>
      <c r="L7" s="2"/>
      <c r="M7" s="2"/>
      <c r="N7" s="2">
        <v>2</v>
      </c>
      <c r="O7" s="2"/>
      <c r="P7" s="1">
        <v>35420.66</v>
      </c>
      <c r="Q7" s="2">
        <v>7941</v>
      </c>
      <c r="R7" s="2">
        <v>2</v>
      </c>
    </row>
    <row r="8" spans="3:18">
      <c r="C8" t="s">
        <v>77</v>
      </c>
      <c r="D8" s="1"/>
      <c r="E8" s="1"/>
      <c r="F8" s="1"/>
      <c r="G8" s="1">
        <v>10825.98</v>
      </c>
      <c r="H8" s="2"/>
      <c r="I8" s="2"/>
      <c r="J8" s="2"/>
      <c r="K8" s="2">
        <v>3351</v>
      </c>
      <c r="L8" s="2"/>
      <c r="M8" s="2"/>
      <c r="N8" s="2"/>
      <c r="O8" s="2">
        <v>1</v>
      </c>
      <c r="P8" s="1">
        <v>10825.98</v>
      </c>
      <c r="Q8" s="2">
        <v>3351</v>
      </c>
      <c r="R8" s="2">
        <v>1</v>
      </c>
    </row>
    <row r="9" spans="3:18">
      <c r="C9" t="s">
        <v>81</v>
      </c>
      <c r="D9" s="1"/>
      <c r="E9" s="1"/>
      <c r="F9" s="1">
        <v>1997.63</v>
      </c>
      <c r="G9" s="1"/>
      <c r="H9" s="2"/>
      <c r="I9" s="2"/>
      <c r="J9" s="2">
        <v>1818</v>
      </c>
      <c r="K9" s="2"/>
      <c r="L9" s="2"/>
      <c r="M9" s="2"/>
      <c r="N9" s="2">
        <v>1</v>
      </c>
      <c r="O9" s="2"/>
      <c r="P9" s="1">
        <v>1997.63</v>
      </c>
      <c r="Q9" s="2">
        <v>1818</v>
      </c>
      <c r="R9" s="2">
        <v>1</v>
      </c>
    </row>
    <row r="10" spans="3:18">
      <c r="C10" t="s">
        <v>51</v>
      </c>
      <c r="D10" s="1"/>
      <c r="E10" s="1">
        <v>4039.48</v>
      </c>
      <c r="F10" s="1"/>
      <c r="G10" s="1"/>
      <c r="H10" s="2"/>
      <c r="I10" s="2">
        <v>3371</v>
      </c>
      <c r="J10" s="2"/>
      <c r="K10" s="2"/>
      <c r="L10" s="2"/>
      <c r="M10" s="2">
        <v>1</v>
      </c>
      <c r="N10" s="2"/>
      <c r="O10" s="2"/>
      <c r="P10" s="1">
        <v>4039.48</v>
      </c>
      <c r="Q10" s="2">
        <v>3371</v>
      </c>
      <c r="R10" s="2">
        <v>1</v>
      </c>
    </row>
    <row r="11" spans="3:18">
      <c r="C11" t="s">
        <v>46</v>
      </c>
      <c r="D11" s="1"/>
      <c r="E11" s="1">
        <v>1686.77</v>
      </c>
      <c r="F11" s="1"/>
      <c r="G11" s="1"/>
      <c r="H11" s="2"/>
      <c r="I11" s="2">
        <v>4607</v>
      </c>
      <c r="J11" s="2"/>
      <c r="K11" s="2"/>
      <c r="L11" s="2"/>
      <c r="M11" s="2">
        <v>1</v>
      </c>
      <c r="N11" s="2"/>
      <c r="O11" s="2"/>
      <c r="P11" s="1">
        <v>1686.77</v>
      </c>
      <c r="Q11" s="2">
        <v>4607</v>
      </c>
      <c r="R11" s="2">
        <v>1</v>
      </c>
    </row>
    <row r="12" spans="2:18">
      <c r="B12" t="s">
        <v>568</v>
      </c>
      <c r="D12" s="1"/>
      <c r="E12" s="1">
        <v>7531.29</v>
      </c>
      <c r="F12" s="1">
        <v>38893.73</v>
      </c>
      <c r="G12" s="1">
        <v>10825.98</v>
      </c>
      <c r="H12" s="2"/>
      <c r="I12" s="2">
        <v>8042</v>
      </c>
      <c r="J12" s="2">
        <v>13129</v>
      </c>
      <c r="K12" s="2">
        <v>3351</v>
      </c>
      <c r="L12" s="2"/>
      <c r="M12" s="2">
        <v>3</v>
      </c>
      <c r="N12" s="2">
        <v>4</v>
      </c>
      <c r="O12" s="2">
        <v>1</v>
      </c>
      <c r="P12" s="1">
        <v>57251</v>
      </c>
      <c r="Q12" s="2">
        <v>24522</v>
      </c>
      <c r="R12" s="2">
        <v>8</v>
      </c>
    </row>
    <row r="13" spans="2:18">
      <c r="B13" t="s">
        <v>27</v>
      </c>
      <c r="C13" t="s">
        <v>39</v>
      </c>
      <c r="D13" s="1"/>
      <c r="E13" s="1"/>
      <c r="F13" s="1">
        <v>4907.52</v>
      </c>
      <c r="G13" s="1"/>
      <c r="H13" s="2"/>
      <c r="I13" s="2"/>
      <c r="J13" s="2">
        <v>2903</v>
      </c>
      <c r="K13" s="2"/>
      <c r="L13" s="2"/>
      <c r="M13" s="2"/>
      <c r="N13" s="2">
        <v>1</v>
      </c>
      <c r="O13" s="2"/>
      <c r="P13" s="1">
        <v>4907.52</v>
      </c>
      <c r="Q13" s="2">
        <v>2903</v>
      </c>
      <c r="R13" s="2">
        <v>1</v>
      </c>
    </row>
    <row r="14" spans="3:18">
      <c r="C14" t="s">
        <v>41</v>
      </c>
      <c r="D14" s="1"/>
      <c r="E14" s="1"/>
      <c r="F14" s="1">
        <v>13095.54</v>
      </c>
      <c r="G14" s="1"/>
      <c r="H14" s="2"/>
      <c r="I14" s="2"/>
      <c r="J14" s="2">
        <v>2708</v>
      </c>
      <c r="K14" s="2"/>
      <c r="L14" s="2"/>
      <c r="M14" s="2"/>
      <c r="N14" s="2">
        <v>1</v>
      </c>
      <c r="O14" s="2"/>
      <c r="P14" s="1">
        <v>13095.54</v>
      </c>
      <c r="Q14" s="2">
        <v>2708</v>
      </c>
      <c r="R14" s="2">
        <v>1</v>
      </c>
    </row>
    <row r="15" spans="3:18">
      <c r="C15" t="s">
        <v>34</v>
      </c>
      <c r="D15" s="1">
        <v>37060.46</v>
      </c>
      <c r="E15" s="1">
        <v>22514.24</v>
      </c>
      <c r="F15" s="1"/>
      <c r="G15" s="1"/>
      <c r="H15" s="2">
        <v>2241</v>
      </c>
      <c r="I15" s="2">
        <v>3527</v>
      </c>
      <c r="J15" s="2"/>
      <c r="K15" s="2"/>
      <c r="L15" s="2">
        <v>1</v>
      </c>
      <c r="M15" s="2">
        <v>1</v>
      </c>
      <c r="N15" s="2"/>
      <c r="O15" s="2"/>
      <c r="P15" s="1">
        <v>59574.7</v>
      </c>
      <c r="Q15" s="2">
        <v>5768</v>
      </c>
      <c r="R15" s="2">
        <v>2</v>
      </c>
    </row>
    <row r="16" spans="3:18">
      <c r="C16" t="s">
        <v>77</v>
      </c>
      <c r="D16" s="1"/>
      <c r="E16" s="1">
        <v>10122.99</v>
      </c>
      <c r="F16" s="1">
        <v>8540.85</v>
      </c>
      <c r="G16" s="1"/>
      <c r="H16" s="2"/>
      <c r="I16" s="2">
        <v>3326</v>
      </c>
      <c r="J16" s="2">
        <v>3660</v>
      </c>
      <c r="K16" s="2"/>
      <c r="L16" s="2"/>
      <c r="M16" s="2">
        <v>1</v>
      </c>
      <c r="N16" s="2">
        <v>1</v>
      </c>
      <c r="O16" s="2"/>
      <c r="P16" s="1">
        <v>18663.84</v>
      </c>
      <c r="Q16" s="2">
        <v>6986</v>
      </c>
      <c r="R16" s="2">
        <v>2</v>
      </c>
    </row>
    <row r="17" spans="3:18">
      <c r="C17" t="s">
        <v>81</v>
      </c>
      <c r="D17" s="1"/>
      <c r="E17" s="1">
        <v>2983.04</v>
      </c>
      <c r="F17" s="1">
        <v>1424.81</v>
      </c>
      <c r="G17" s="1">
        <v>396.18</v>
      </c>
      <c r="H17" s="2"/>
      <c r="I17" s="2">
        <v>3011</v>
      </c>
      <c r="J17" s="2">
        <v>149</v>
      </c>
      <c r="K17" s="2">
        <v>276</v>
      </c>
      <c r="L17" s="2"/>
      <c r="M17" s="2">
        <v>1</v>
      </c>
      <c r="N17" s="2">
        <v>1</v>
      </c>
      <c r="O17" s="2">
        <v>1</v>
      </c>
      <c r="P17" s="1">
        <v>4804.03</v>
      </c>
      <c r="Q17" s="2">
        <v>3436</v>
      </c>
      <c r="R17" s="2">
        <v>3</v>
      </c>
    </row>
    <row r="18" spans="3:18">
      <c r="C18" t="s">
        <v>25</v>
      </c>
      <c r="D18" s="1"/>
      <c r="E18" s="1">
        <v>4143.65</v>
      </c>
      <c r="F18" s="1">
        <v>4320.01</v>
      </c>
      <c r="G18" s="1"/>
      <c r="H18" s="2"/>
      <c r="I18" s="2">
        <v>1357</v>
      </c>
      <c r="J18" s="2">
        <v>4791</v>
      </c>
      <c r="K18" s="2"/>
      <c r="L18" s="2"/>
      <c r="M18" s="2">
        <v>1</v>
      </c>
      <c r="N18" s="2">
        <v>1</v>
      </c>
      <c r="O18" s="2"/>
      <c r="P18" s="1">
        <v>8463.66</v>
      </c>
      <c r="Q18" s="2">
        <v>6148</v>
      </c>
      <c r="R18" s="2">
        <v>2</v>
      </c>
    </row>
    <row r="19" spans="3:18">
      <c r="C19" t="s">
        <v>51</v>
      </c>
      <c r="D19" s="1"/>
      <c r="E19" s="1"/>
      <c r="F19" s="1">
        <v>25969.07</v>
      </c>
      <c r="G19" s="1"/>
      <c r="H19" s="2"/>
      <c r="I19" s="2"/>
      <c r="J19" s="2">
        <v>4768</v>
      </c>
      <c r="K19" s="2"/>
      <c r="L19" s="2"/>
      <c r="M19" s="2"/>
      <c r="N19" s="2">
        <v>3</v>
      </c>
      <c r="O19" s="2"/>
      <c r="P19" s="1">
        <v>25969.07</v>
      </c>
      <c r="Q19" s="2">
        <v>4768</v>
      </c>
      <c r="R19" s="2">
        <v>3</v>
      </c>
    </row>
    <row r="20" spans="3:18">
      <c r="C20" t="s">
        <v>46</v>
      </c>
      <c r="D20" s="1">
        <v>5840.08</v>
      </c>
      <c r="E20" s="1"/>
      <c r="F20" s="1">
        <v>4882.49</v>
      </c>
      <c r="G20" s="1"/>
      <c r="H20" s="2">
        <v>1218</v>
      </c>
      <c r="I20" s="2"/>
      <c r="J20" s="2">
        <v>2640</v>
      </c>
      <c r="K20" s="2"/>
      <c r="L20" s="2">
        <v>1</v>
      </c>
      <c r="M20" s="2"/>
      <c r="N20" s="2">
        <v>1</v>
      </c>
      <c r="O20" s="2"/>
      <c r="P20" s="1">
        <v>10722.57</v>
      </c>
      <c r="Q20" s="2">
        <v>3858</v>
      </c>
      <c r="R20" s="2">
        <v>2</v>
      </c>
    </row>
    <row r="21" spans="2:18">
      <c r="B21" t="s">
        <v>569</v>
      </c>
      <c r="D21" s="1">
        <v>42900.54</v>
      </c>
      <c r="E21" s="1">
        <v>39763.92</v>
      </c>
      <c r="F21" s="1">
        <v>63140.29</v>
      </c>
      <c r="G21" s="1">
        <v>396.18</v>
      </c>
      <c r="H21" s="2">
        <v>3459</v>
      </c>
      <c r="I21" s="2">
        <v>11221</v>
      </c>
      <c r="J21" s="2">
        <v>21619</v>
      </c>
      <c r="K21" s="2">
        <v>276</v>
      </c>
      <c r="L21" s="2">
        <v>2</v>
      </c>
      <c r="M21" s="2">
        <v>4</v>
      </c>
      <c r="N21" s="2">
        <v>9</v>
      </c>
      <c r="O21" s="2">
        <v>1</v>
      </c>
      <c r="P21" s="1">
        <v>146200.93</v>
      </c>
      <c r="Q21" s="2">
        <v>36575</v>
      </c>
      <c r="R21" s="2">
        <v>16</v>
      </c>
    </row>
    <row r="22" spans="1:18">
      <c r="A22" t="s">
        <v>570</v>
      </c>
      <c r="D22" s="1">
        <v>42900.54</v>
      </c>
      <c r="E22" s="1">
        <v>47295.21</v>
      </c>
      <c r="F22" s="1">
        <v>102034.02</v>
      </c>
      <c r="G22" s="1">
        <v>11222.16</v>
      </c>
      <c r="H22" s="2">
        <v>3459</v>
      </c>
      <c r="I22" s="2">
        <v>19263</v>
      </c>
      <c r="J22" s="2">
        <v>34748</v>
      </c>
      <c r="K22" s="2">
        <v>3627</v>
      </c>
      <c r="L22" s="2">
        <v>2</v>
      </c>
      <c r="M22" s="2">
        <v>7</v>
      </c>
      <c r="N22" s="2">
        <v>13</v>
      </c>
      <c r="O22" s="2">
        <v>2</v>
      </c>
      <c r="P22" s="1">
        <v>203451.93</v>
      </c>
      <c r="Q22" s="2">
        <v>61097</v>
      </c>
      <c r="R22" s="2">
        <v>24</v>
      </c>
    </row>
    <row r="23" spans="1:18">
      <c r="A23" t="s">
        <v>33</v>
      </c>
      <c r="B23" t="s">
        <v>21</v>
      </c>
      <c r="C23" t="s">
        <v>34</v>
      </c>
      <c r="D23" s="1"/>
      <c r="E23" s="1"/>
      <c r="F23" s="1">
        <v>7860.4</v>
      </c>
      <c r="G23" s="1"/>
      <c r="H23" s="2"/>
      <c r="I23" s="2"/>
      <c r="J23" s="2">
        <v>2445</v>
      </c>
      <c r="K23" s="2"/>
      <c r="L23" s="2"/>
      <c r="M23" s="2"/>
      <c r="N23" s="2">
        <v>1</v>
      </c>
      <c r="O23" s="2"/>
      <c r="P23" s="1">
        <v>7860.4</v>
      </c>
      <c r="Q23" s="2">
        <v>2445</v>
      </c>
      <c r="R23" s="2">
        <v>1</v>
      </c>
    </row>
    <row r="24" spans="3:18">
      <c r="C24" t="s">
        <v>51</v>
      </c>
      <c r="D24" s="1"/>
      <c r="E24" s="1">
        <v>5552.01</v>
      </c>
      <c r="F24" s="1"/>
      <c r="G24" s="1"/>
      <c r="H24" s="2"/>
      <c r="I24" s="2">
        <v>4693</v>
      </c>
      <c r="J24" s="2"/>
      <c r="K24" s="2"/>
      <c r="L24" s="2"/>
      <c r="M24" s="2">
        <v>1</v>
      </c>
      <c r="N24" s="2"/>
      <c r="O24" s="2"/>
      <c r="P24" s="1">
        <v>5552.01</v>
      </c>
      <c r="Q24" s="2">
        <v>4693</v>
      </c>
      <c r="R24" s="2">
        <v>1</v>
      </c>
    </row>
    <row r="25" spans="3:18">
      <c r="C25" t="s">
        <v>46</v>
      </c>
      <c r="D25" s="1"/>
      <c r="E25" s="1">
        <v>666.49</v>
      </c>
      <c r="F25" s="1">
        <v>5519.19</v>
      </c>
      <c r="G25" s="1"/>
      <c r="H25" s="2"/>
      <c r="I25" s="2">
        <v>276</v>
      </c>
      <c r="J25" s="2">
        <v>777</v>
      </c>
      <c r="K25" s="2"/>
      <c r="L25" s="2"/>
      <c r="M25" s="2">
        <v>1</v>
      </c>
      <c r="N25" s="2">
        <v>1</v>
      </c>
      <c r="O25" s="2"/>
      <c r="P25" s="1">
        <v>6185.68</v>
      </c>
      <c r="Q25" s="2">
        <v>1053</v>
      </c>
      <c r="R25" s="2">
        <v>2</v>
      </c>
    </row>
    <row r="26" spans="2:18">
      <c r="B26" t="s">
        <v>568</v>
      </c>
      <c r="D26" s="1"/>
      <c r="E26" s="1">
        <v>6218.5</v>
      </c>
      <c r="F26" s="1">
        <v>13379.59</v>
      </c>
      <c r="G26" s="1"/>
      <c r="H26" s="2"/>
      <c r="I26" s="2">
        <v>4969</v>
      </c>
      <c r="J26" s="2">
        <v>3222</v>
      </c>
      <c r="K26" s="2"/>
      <c r="L26" s="2"/>
      <c r="M26" s="2">
        <v>2</v>
      </c>
      <c r="N26" s="2">
        <v>2</v>
      </c>
      <c r="O26" s="2"/>
      <c r="P26" s="1">
        <v>19598.09</v>
      </c>
      <c r="Q26" s="2">
        <v>8191</v>
      </c>
      <c r="R26" s="2">
        <v>4</v>
      </c>
    </row>
    <row r="27" spans="2:18">
      <c r="B27" t="s">
        <v>27</v>
      </c>
      <c r="C27" t="s">
        <v>39</v>
      </c>
      <c r="D27" s="1">
        <v>47092.35</v>
      </c>
      <c r="E27" s="1">
        <v>10440.52</v>
      </c>
      <c r="F27" s="1">
        <v>25305.12</v>
      </c>
      <c r="G27" s="1">
        <v>13881.58</v>
      </c>
      <c r="H27" s="2">
        <v>6323</v>
      </c>
      <c r="I27" s="2">
        <v>3302</v>
      </c>
      <c r="J27" s="2">
        <v>3693</v>
      </c>
      <c r="K27" s="2">
        <v>2150</v>
      </c>
      <c r="L27" s="2">
        <v>3</v>
      </c>
      <c r="M27" s="2">
        <v>1</v>
      </c>
      <c r="N27" s="2">
        <v>2</v>
      </c>
      <c r="O27" s="2">
        <v>1</v>
      </c>
      <c r="P27" s="1">
        <v>96719.57</v>
      </c>
      <c r="Q27" s="2">
        <v>15468</v>
      </c>
      <c r="R27" s="2">
        <v>7</v>
      </c>
    </row>
    <row r="28" spans="3:18">
      <c r="C28" t="s">
        <v>18</v>
      </c>
      <c r="D28" s="1">
        <v>5861.31</v>
      </c>
      <c r="E28" s="1"/>
      <c r="F28" s="1">
        <v>1620.42</v>
      </c>
      <c r="G28" s="1"/>
      <c r="H28" s="2">
        <v>1849</v>
      </c>
      <c r="I28" s="2"/>
      <c r="J28" s="2">
        <v>4352</v>
      </c>
      <c r="K28" s="2"/>
      <c r="L28" s="2">
        <v>1</v>
      </c>
      <c r="M28" s="2"/>
      <c r="N28" s="2">
        <v>1</v>
      </c>
      <c r="O28" s="2"/>
      <c r="P28" s="1">
        <v>7481.73</v>
      </c>
      <c r="Q28" s="2">
        <v>6201</v>
      </c>
      <c r="R28" s="2">
        <v>2</v>
      </c>
    </row>
    <row r="29" spans="3:18">
      <c r="C29" t="s">
        <v>41</v>
      </c>
      <c r="D29" s="1"/>
      <c r="E29" s="1"/>
      <c r="F29" s="1">
        <v>23179.65</v>
      </c>
      <c r="G29" s="1"/>
      <c r="H29" s="2"/>
      <c r="I29" s="2"/>
      <c r="J29" s="2">
        <v>3043</v>
      </c>
      <c r="K29" s="2"/>
      <c r="L29" s="2"/>
      <c r="M29" s="2"/>
      <c r="N29" s="2">
        <v>1</v>
      </c>
      <c r="O29" s="2"/>
      <c r="P29" s="1">
        <v>23179.65</v>
      </c>
      <c r="Q29" s="2">
        <v>3043</v>
      </c>
      <c r="R29" s="2">
        <v>1</v>
      </c>
    </row>
    <row r="30" spans="3:18">
      <c r="C30" t="s">
        <v>100</v>
      </c>
      <c r="D30" s="1">
        <v>1148.58</v>
      </c>
      <c r="E30" s="1"/>
      <c r="F30" s="1">
        <v>9444.94</v>
      </c>
      <c r="G30" s="1"/>
      <c r="H30" s="2">
        <v>1161</v>
      </c>
      <c r="I30" s="2"/>
      <c r="J30" s="2">
        <v>5324</v>
      </c>
      <c r="K30" s="2"/>
      <c r="L30" s="2">
        <v>1</v>
      </c>
      <c r="M30" s="2"/>
      <c r="N30" s="2">
        <v>2</v>
      </c>
      <c r="O30" s="2"/>
      <c r="P30" s="1">
        <v>10593.52</v>
      </c>
      <c r="Q30" s="2">
        <v>6485</v>
      </c>
      <c r="R30" s="2">
        <v>3</v>
      </c>
    </row>
    <row r="31" spans="3:18">
      <c r="C31" t="s">
        <v>34</v>
      </c>
      <c r="D31" s="1">
        <v>22261.43</v>
      </c>
      <c r="E31" s="1">
        <v>16510.47</v>
      </c>
      <c r="F31" s="1">
        <v>6248.57</v>
      </c>
      <c r="G31" s="1"/>
      <c r="H31" s="2">
        <v>1105</v>
      </c>
      <c r="I31" s="2">
        <v>787</v>
      </c>
      <c r="J31" s="2">
        <v>4494</v>
      </c>
      <c r="K31" s="2"/>
      <c r="L31" s="2">
        <v>1</v>
      </c>
      <c r="M31" s="2">
        <v>1</v>
      </c>
      <c r="N31" s="2">
        <v>1</v>
      </c>
      <c r="O31" s="2"/>
      <c r="P31" s="1">
        <v>45020.47</v>
      </c>
      <c r="Q31" s="2">
        <v>6386</v>
      </c>
      <c r="R31" s="2">
        <v>3</v>
      </c>
    </row>
    <row r="32" spans="3:18">
      <c r="C32" t="s">
        <v>77</v>
      </c>
      <c r="D32" s="1">
        <v>13924.43</v>
      </c>
      <c r="E32" s="1">
        <v>5436.14</v>
      </c>
      <c r="F32" s="1">
        <v>14786.75</v>
      </c>
      <c r="G32" s="1"/>
      <c r="H32" s="2">
        <v>3632</v>
      </c>
      <c r="I32" s="2">
        <v>238</v>
      </c>
      <c r="J32" s="2">
        <v>6069</v>
      </c>
      <c r="K32" s="2"/>
      <c r="L32" s="2">
        <v>1</v>
      </c>
      <c r="M32" s="2">
        <v>1</v>
      </c>
      <c r="N32" s="2">
        <v>3</v>
      </c>
      <c r="O32" s="2"/>
      <c r="P32" s="1">
        <v>34147.32</v>
      </c>
      <c r="Q32" s="2">
        <v>9939</v>
      </c>
      <c r="R32" s="2">
        <v>5</v>
      </c>
    </row>
    <row r="33" spans="3:18">
      <c r="C33" t="s">
        <v>81</v>
      </c>
      <c r="D33" s="1">
        <v>3685.45</v>
      </c>
      <c r="E33" s="1"/>
      <c r="F33" s="1">
        <v>2434.08</v>
      </c>
      <c r="G33" s="1"/>
      <c r="H33" s="2">
        <v>4695</v>
      </c>
      <c r="I33" s="2"/>
      <c r="J33" s="2">
        <v>4062</v>
      </c>
      <c r="K33" s="2"/>
      <c r="L33" s="2">
        <v>2</v>
      </c>
      <c r="M33" s="2"/>
      <c r="N33" s="2">
        <v>1</v>
      </c>
      <c r="O33" s="2"/>
      <c r="P33" s="1">
        <v>6119.53</v>
      </c>
      <c r="Q33" s="2">
        <v>8757</v>
      </c>
      <c r="R33" s="2">
        <v>3</v>
      </c>
    </row>
    <row r="34" spans="3:18">
      <c r="C34" t="s">
        <v>51</v>
      </c>
      <c r="D34" s="1"/>
      <c r="E34" s="1">
        <v>2859.96</v>
      </c>
      <c r="F34" s="1"/>
      <c r="G34" s="1"/>
      <c r="H34" s="2"/>
      <c r="I34" s="2">
        <v>1755</v>
      </c>
      <c r="J34" s="2"/>
      <c r="K34" s="2"/>
      <c r="L34" s="2"/>
      <c r="M34" s="2">
        <v>1</v>
      </c>
      <c r="N34" s="2"/>
      <c r="O34" s="2"/>
      <c r="P34" s="1">
        <v>2859.96</v>
      </c>
      <c r="Q34" s="2">
        <v>1755</v>
      </c>
      <c r="R34" s="2">
        <v>1</v>
      </c>
    </row>
    <row r="35" spans="3:18">
      <c r="C35" t="s">
        <v>46</v>
      </c>
      <c r="D35" s="1"/>
      <c r="E35" s="1">
        <v>6732.23</v>
      </c>
      <c r="F35" s="1">
        <v>5686.17</v>
      </c>
      <c r="G35" s="1"/>
      <c r="H35" s="2"/>
      <c r="I35" s="2">
        <v>3536</v>
      </c>
      <c r="J35" s="2">
        <v>859</v>
      </c>
      <c r="K35" s="2"/>
      <c r="L35" s="2"/>
      <c r="M35" s="2">
        <v>1</v>
      </c>
      <c r="N35" s="2">
        <v>1</v>
      </c>
      <c r="O35" s="2"/>
      <c r="P35" s="1">
        <v>12418.4</v>
      </c>
      <c r="Q35" s="2">
        <v>4395</v>
      </c>
      <c r="R35" s="2">
        <v>2</v>
      </c>
    </row>
    <row r="36" spans="2:18">
      <c r="B36" t="s">
        <v>569</v>
      </c>
      <c r="D36" s="1">
        <v>93973.55</v>
      </c>
      <c r="E36" s="1">
        <v>41979.32</v>
      </c>
      <c r="F36" s="1">
        <v>88705.7</v>
      </c>
      <c r="G36" s="1">
        <v>13881.58</v>
      </c>
      <c r="H36" s="2">
        <v>18765</v>
      </c>
      <c r="I36" s="2">
        <v>9618</v>
      </c>
      <c r="J36" s="2">
        <v>31896</v>
      </c>
      <c r="K36" s="2">
        <v>2150</v>
      </c>
      <c r="L36" s="2">
        <v>9</v>
      </c>
      <c r="M36" s="2">
        <v>5</v>
      </c>
      <c r="N36" s="2">
        <v>12</v>
      </c>
      <c r="O36" s="2">
        <v>1</v>
      </c>
      <c r="P36" s="1">
        <v>238540.15</v>
      </c>
      <c r="Q36" s="2">
        <v>62429</v>
      </c>
      <c r="R36" s="2">
        <v>27</v>
      </c>
    </row>
    <row r="37" spans="1:18">
      <c r="A37" t="s">
        <v>571</v>
      </c>
      <c r="D37" s="1">
        <v>93973.55</v>
      </c>
      <c r="E37" s="1">
        <v>48197.82</v>
      </c>
      <c r="F37" s="1">
        <v>102085.29</v>
      </c>
      <c r="G37" s="1">
        <v>13881.58</v>
      </c>
      <c r="H37" s="2">
        <v>18765</v>
      </c>
      <c r="I37" s="2">
        <v>14587</v>
      </c>
      <c r="J37" s="2">
        <v>35118</v>
      </c>
      <c r="K37" s="2">
        <v>2150</v>
      </c>
      <c r="L37" s="2">
        <v>9</v>
      </c>
      <c r="M37" s="2">
        <v>7</v>
      </c>
      <c r="N37" s="2">
        <v>14</v>
      </c>
      <c r="O37" s="2">
        <v>1</v>
      </c>
      <c r="P37" s="1">
        <v>258138.24</v>
      </c>
      <c r="Q37" s="2">
        <v>70620</v>
      </c>
      <c r="R37" s="2">
        <v>31</v>
      </c>
    </row>
    <row r="38" spans="1:18">
      <c r="A38" t="s">
        <v>94</v>
      </c>
      <c r="B38" t="s">
        <v>21</v>
      </c>
      <c r="C38" t="s">
        <v>39</v>
      </c>
      <c r="D38" s="1"/>
      <c r="E38" s="1">
        <v>11060.61</v>
      </c>
      <c r="F38" s="1"/>
      <c r="G38" s="1"/>
      <c r="H38" s="2"/>
      <c r="I38" s="2">
        <v>3865</v>
      </c>
      <c r="J38" s="2"/>
      <c r="K38" s="2"/>
      <c r="L38" s="2"/>
      <c r="M38" s="2">
        <v>1</v>
      </c>
      <c r="N38" s="2"/>
      <c r="O38" s="2"/>
      <c r="P38" s="1">
        <v>11060.61</v>
      </c>
      <c r="Q38" s="2">
        <v>3865</v>
      </c>
      <c r="R38" s="2">
        <v>1</v>
      </c>
    </row>
    <row r="39" spans="3:18">
      <c r="C39" t="s">
        <v>41</v>
      </c>
      <c r="D39" s="1"/>
      <c r="E39" s="1"/>
      <c r="F39" s="1"/>
      <c r="G39" s="1">
        <v>21128.06</v>
      </c>
      <c r="H39" s="2"/>
      <c r="I39" s="2"/>
      <c r="J39" s="2"/>
      <c r="K39" s="2">
        <v>1380</v>
      </c>
      <c r="L39" s="2"/>
      <c r="M39" s="2"/>
      <c r="N39" s="2"/>
      <c r="O39" s="2">
        <v>1</v>
      </c>
      <c r="P39" s="1">
        <v>21128.06</v>
      </c>
      <c r="Q39" s="2">
        <v>1380</v>
      </c>
      <c r="R39" s="2">
        <v>1</v>
      </c>
    </row>
    <row r="40" spans="3:18">
      <c r="C40" t="s">
        <v>100</v>
      </c>
      <c r="D40" s="1"/>
      <c r="E40" s="1"/>
      <c r="F40" s="1">
        <v>2886.89</v>
      </c>
      <c r="G40" s="1"/>
      <c r="H40" s="2"/>
      <c r="I40" s="2"/>
      <c r="J40" s="2">
        <v>3793</v>
      </c>
      <c r="K40" s="2"/>
      <c r="L40" s="2"/>
      <c r="M40" s="2"/>
      <c r="N40" s="2">
        <v>1</v>
      </c>
      <c r="O40" s="2"/>
      <c r="P40" s="1">
        <v>2886.89</v>
      </c>
      <c r="Q40" s="2">
        <v>3793</v>
      </c>
      <c r="R40" s="2">
        <v>1</v>
      </c>
    </row>
    <row r="41" spans="3:18">
      <c r="C41" t="s">
        <v>34</v>
      </c>
      <c r="D41" s="1"/>
      <c r="E41" s="1">
        <v>19745.5</v>
      </c>
      <c r="F41" s="1"/>
      <c r="G41" s="1"/>
      <c r="H41" s="2"/>
      <c r="I41" s="2">
        <v>4707</v>
      </c>
      <c r="J41" s="2"/>
      <c r="K41" s="2"/>
      <c r="L41" s="2"/>
      <c r="M41" s="2">
        <v>1</v>
      </c>
      <c r="N41" s="2"/>
      <c r="O41" s="2"/>
      <c r="P41" s="1">
        <v>19745.5</v>
      </c>
      <c r="Q41" s="2">
        <v>4707</v>
      </c>
      <c r="R41" s="2">
        <v>1</v>
      </c>
    </row>
    <row r="42" spans="3:18">
      <c r="C42" t="s">
        <v>77</v>
      </c>
      <c r="D42" s="1"/>
      <c r="E42" s="1"/>
      <c r="F42" s="1">
        <v>2797.2</v>
      </c>
      <c r="G42" s="1"/>
      <c r="H42" s="2"/>
      <c r="I42" s="2"/>
      <c r="J42" s="2">
        <v>1230</v>
      </c>
      <c r="K42" s="2"/>
      <c r="L42" s="2"/>
      <c r="M42" s="2"/>
      <c r="N42" s="2">
        <v>1</v>
      </c>
      <c r="O42" s="2"/>
      <c r="P42" s="1">
        <v>2797.2</v>
      </c>
      <c r="Q42" s="2">
        <v>1230</v>
      </c>
      <c r="R42" s="2">
        <v>1</v>
      </c>
    </row>
    <row r="43" spans="3:18">
      <c r="C43" t="s">
        <v>51</v>
      </c>
      <c r="D43" s="1"/>
      <c r="E43" s="1"/>
      <c r="F43" s="1">
        <v>14959.89</v>
      </c>
      <c r="G43" s="1"/>
      <c r="H43" s="2"/>
      <c r="I43" s="2"/>
      <c r="J43" s="2">
        <v>2215</v>
      </c>
      <c r="K43" s="2"/>
      <c r="L43" s="2"/>
      <c r="M43" s="2"/>
      <c r="N43" s="2">
        <v>1</v>
      </c>
      <c r="O43" s="2"/>
      <c r="P43" s="1">
        <v>14959.89</v>
      </c>
      <c r="Q43" s="2">
        <v>2215</v>
      </c>
      <c r="R43" s="2">
        <v>1</v>
      </c>
    </row>
    <row r="44" spans="2:18">
      <c r="B44" t="s">
        <v>568</v>
      </c>
      <c r="D44" s="1"/>
      <c r="E44" s="1">
        <v>30806.11</v>
      </c>
      <c r="F44" s="1">
        <v>20643.98</v>
      </c>
      <c r="G44" s="1">
        <v>21128.06</v>
      </c>
      <c r="H44" s="2"/>
      <c r="I44" s="2">
        <v>8572</v>
      </c>
      <c r="J44" s="2">
        <v>7238</v>
      </c>
      <c r="K44" s="2">
        <v>1380</v>
      </c>
      <c r="L44" s="2"/>
      <c r="M44" s="2">
        <v>2</v>
      </c>
      <c r="N44" s="2">
        <v>3</v>
      </c>
      <c r="O44" s="2">
        <v>1</v>
      </c>
      <c r="P44" s="1">
        <v>72578.15</v>
      </c>
      <c r="Q44" s="2">
        <v>17190</v>
      </c>
      <c r="R44" s="2">
        <v>6</v>
      </c>
    </row>
    <row r="45" spans="2:18">
      <c r="B45" t="s">
        <v>27</v>
      </c>
      <c r="C45" t="s">
        <v>39</v>
      </c>
      <c r="D45" s="1"/>
      <c r="E45" s="1"/>
      <c r="F45" s="1">
        <v>47200.87</v>
      </c>
      <c r="G45" s="1">
        <v>2203.32</v>
      </c>
      <c r="H45" s="2"/>
      <c r="I45" s="2"/>
      <c r="J45" s="2">
        <v>12937</v>
      </c>
      <c r="K45" s="2">
        <v>3163</v>
      </c>
      <c r="L45" s="2"/>
      <c r="M45" s="2"/>
      <c r="N45" s="2">
        <v>4</v>
      </c>
      <c r="O45" s="2">
        <v>1</v>
      </c>
      <c r="P45" s="1">
        <v>49404.19</v>
      </c>
      <c r="Q45" s="2">
        <v>16100</v>
      </c>
      <c r="R45" s="2">
        <v>5</v>
      </c>
    </row>
    <row r="46" spans="3:18">
      <c r="C46" t="s">
        <v>18</v>
      </c>
      <c r="D46" s="1">
        <v>3070.27</v>
      </c>
      <c r="E46" s="1"/>
      <c r="F46" s="1"/>
      <c r="G46" s="1">
        <v>3146.47</v>
      </c>
      <c r="H46" s="2">
        <v>4666</v>
      </c>
      <c r="I46" s="2"/>
      <c r="J46" s="2"/>
      <c r="K46" s="2">
        <v>4176</v>
      </c>
      <c r="L46" s="2">
        <v>1</v>
      </c>
      <c r="M46" s="2"/>
      <c r="N46" s="2"/>
      <c r="O46" s="2">
        <v>1</v>
      </c>
      <c r="P46" s="1">
        <v>6216.74</v>
      </c>
      <c r="Q46" s="2">
        <v>8842</v>
      </c>
      <c r="R46" s="2">
        <v>2</v>
      </c>
    </row>
    <row r="47" spans="3:18">
      <c r="C47" t="s">
        <v>41</v>
      </c>
      <c r="D47" s="1">
        <v>21572.93</v>
      </c>
      <c r="E47" s="1"/>
      <c r="F47" s="1"/>
      <c r="G47" s="1"/>
      <c r="H47" s="2">
        <v>3335</v>
      </c>
      <c r="I47" s="2"/>
      <c r="J47" s="2"/>
      <c r="K47" s="2"/>
      <c r="L47" s="2">
        <v>1</v>
      </c>
      <c r="M47" s="2"/>
      <c r="N47" s="2"/>
      <c r="O47" s="2"/>
      <c r="P47" s="1">
        <v>21572.93</v>
      </c>
      <c r="Q47" s="2">
        <v>3335</v>
      </c>
      <c r="R47" s="2">
        <v>1</v>
      </c>
    </row>
    <row r="48" spans="3:18">
      <c r="C48" t="s">
        <v>100</v>
      </c>
      <c r="D48" s="1">
        <v>2731.58</v>
      </c>
      <c r="E48" s="1"/>
      <c r="F48" s="1"/>
      <c r="G48" s="1"/>
      <c r="H48" s="2">
        <v>4962</v>
      </c>
      <c r="I48" s="2"/>
      <c r="J48" s="2"/>
      <c r="K48" s="2"/>
      <c r="L48" s="2">
        <v>1</v>
      </c>
      <c r="M48" s="2"/>
      <c r="N48" s="2"/>
      <c r="O48" s="2"/>
      <c r="P48" s="1">
        <v>2731.58</v>
      </c>
      <c r="Q48" s="2">
        <v>4962</v>
      </c>
      <c r="R48" s="2">
        <v>1</v>
      </c>
    </row>
    <row r="49" spans="3:18">
      <c r="C49" t="s">
        <v>34</v>
      </c>
      <c r="D49" s="1">
        <v>47280.88</v>
      </c>
      <c r="E49" s="1"/>
      <c r="F49" s="1">
        <v>46017.38</v>
      </c>
      <c r="G49" s="1"/>
      <c r="H49" s="2">
        <v>78</v>
      </c>
      <c r="I49" s="2"/>
      <c r="J49" s="2">
        <v>1170</v>
      </c>
      <c r="K49" s="2"/>
      <c r="L49" s="2">
        <v>1</v>
      </c>
      <c r="M49" s="2"/>
      <c r="N49" s="2">
        <v>1</v>
      </c>
      <c r="O49" s="2"/>
      <c r="P49" s="1">
        <v>93298.26</v>
      </c>
      <c r="Q49" s="2">
        <v>1248</v>
      </c>
      <c r="R49" s="2">
        <v>2</v>
      </c>
    </row>
    <row r="50" spans="3:18">
      <c r="C50" t="s">
        <v>77</v>
      </c>
      <c r="D50" s="1">
        <v>4072.94</v>
      </c>
      <c r="E50" s="1"/>
      <c r="F50" s="1">
        <v>19020.97</v>
      </c>
      <c r="G50" s="1">
        <v>4448.55</v>
      </c>
      <c r="H50" s="2">
        <v>3075</v>
      </c>
      <c r="I50" s="2"/>
      <c r="J50" s="2">
        <v>3302</v>
      </c>
      <c r="K50" s="2">
        <v>2007</v>
      </c>
      <c r="L50" s="2">
        <v>1</v>
      </c>
      <c r="M50" s="2"/>
      <c r="N50" s="2">
        <v>2</v>
      </c>
      <c r="O50" s="2">
        <v>1</v>
      </c>
      <c r="P50" s="1">
        <v>27542.46</v>
      </c>
      <c r="Q50" s="2">
        <v>8384</v>
      </c>
      <c r="R50" s="2">
        <v>4</v>
      </c>
    </row>
    <row r="51" spans="3:18">
      <c r="C51" t="s">
        <v>25</v>
      </c>
      <c r="D51" s="1">
        <v>2764.91</v>
      </c>
      <c r="E51" s="1"/>
      <c r="F51" s="1"/>
      <c r="G51" s="1"/>
      <c r="H51" s="2">
        <v>2974</v>
      </c>
      <c r="I51" s="2"/>
      <c r="J51" s="2"/>
      <c r="K51" s="2"/>
      <c r="L51" s="2">
        <v>1</v>
      </c>
      <c r="M51" s="2"/>
      <c r="N51" s="2"/>
      <c r="O51" s="2"/>
      <c r="P51" s="1">
        <v>2764.91</v>
      </c>
      <c r="Q51" s="2">
        <v>2974</v>
      </c>
      <c r="R51" s="2">
        <v>1</v>
      </c>
    </row>
    <row r="52" spans="3:18">
      <c r="C52" t="s">
        <v>51</v>
      </c>
      <c r="D52" s="1">
        <v>6781.91</v>
      </c>
      <c r="E52" s="1">
        <v>13909.15</v>
      </c>
      <c r="F52" s="1">
        <v>6774.51</v>
      </c>
      <c r="G52" s="1"/>
      <c r="H52" s="2">
        <v>2021</v>
      </c>
      <c r="I52" s="2">
        <v>9034</v>
      </c>
      <c r="J52" s="2">
        <v>2008</v>
      </c>
      <c r="K52" s="2"/>
      <c r="L52" s="2">
        <v>1</v>
      </c>
      <c r="M52" s="2">
        <v>2</v>
      </c>
      <c r="N52" s="2">
        <v>1</v>
      </c>
      <c r="O52" s="2"/>
      <c r="P52" s="1">
        <v>27465.57</v>
      </c>
      <c r="Q52" s="2">
        <v>13063</v>
      </c>
      <c r="R52" s="2">
        <v>4</v>
      </c>
    </row>
    <row r="53" spans="3:18">
      <c r="C53" t="s">
        <v>46</v>
      </c>
      <c r="D53" s="1"/>
      <c r="E53" s="1">
        <v>5383.26</v>
      </c>
      <c r="F53" s="1"/>
      <c r="G53" s="1"/>
      <c r="H53" s="2"/>
      <c r="I53" s="2">
        <v>2404</v>
      </c>
      <c r="J53" s="2"/>
      <c r="K53" s="2"/>
      <c r="L53" s="2"/>
      <c r="M53" s="2">
        <v>1</v>
      </c>
      <c r="N53" s="2"/>
      <c r="O53" s="2"/>
      <c r="P53" s="1">
        <v>5383.26</v>
      </c>
      <c r="Q53" s="2">
        <v>2404</v>
      </c>
      <c r="R53" s="2">
        <v>1</v>
      </c>
    </row>
    <row r="54" spans="2:18">
      <c r="B54" t="s">
        <v>569</v>
      </c>
      <c r="D54" s="1">
        <v>88275.42</v>
      </c>
      <c r="E54" s="1">
        <v>19292.41</v>
      </c>
      <c r="F54" s="1">
        <v>119013.73</v>
      </c>
      <c r="G54" s="1">
        <v>9798.34</v>
      </c>
      <c r="H54" s="2">
        <v>21111</v>
      </c>
      <c r="I54" s="2">
        <v>11438</v>
      </c>
      <c r="J54" s="2">
        <v>19417</v>
      </c>
      <c r="K54" s="2">
        <v>9346</v>
      </c>
      <c r="L54" s="2">
        <v>7</v>
      </c>
      <c r="M54" s="2">
        <v>3</v>
      </c>
      <c r="N54" s="2">
        <v>8</v>
      </c>
      <c r="O54" s="2">
        <v>3</v>
      </c>
      <c r="P54" s="1">
        <v>236379.9</v>
      </c>
      <c r="Q54" s="2">
        <v>61312</v>
      </c>
      <c r="R54" s="2">
        <v>21</v>
      </c>
    </row>
    <row r="55" spans="1:18">
      <c r="A55" t="s">
        <v>572</v>
      </c>
      <c r="D55" s="1">
        <v>88275.42</v>
      </c>
      <c r="E55" s="1">
        <v>50098.52</v>
      </c>
      <c r="F55" s="1">
        <v>139657.71</v>
      </c>
      <c r="G55" s="1">
        <v>30926.4</v>
      </c>
      <c r="H55" s="2">
        <v>21111</v>
      </c>
      <c r="I55" s="2">
        <v>20010</v>
      </c>
      <c r="J55" s="2">
        <v>26655</v>
      </c>
      <c r="K55" s="2">
        <v>10726</v>
      </c>
      <c r="L55" s="2">
        <v>7</v>
      </c>
      <c r="M55" s="2">
        <v>5</v>
      </c>
      <c r="N55" s="2">
        <v>11</v>
      </c>
      <c r="O55" s="2">
        <v>4</v>
      </c>
      <c r="P55" s="1">
        <v>308958.05</v>
      </c>
      <c r="Q55" s="2">
        <v>78502</v>
      </c>
      <c r="R55" s="2">
        <v>27</v>
      </c>
    </row>
    <row r="56" spans="1:18">
      <c r="A56" t="s">
        <v>17</v>
      </c>
      <c r="B56" t="s">
        <v>21</v>
      </c>
      <c r="C56" t="s">
        <v>39</v>
      </c>
      <c r="D56" s="1"/>
      <c r="E56" s="1"/>
      <c r="F56" s="1">
        <v>7684.71</v>
      </c>
      <c r="G56" s="1"/>
      <c r="H56" s="2"/>
      <c r="I56" s="2"/>
      <c r="J56" s="2">
        <v>345</v>
      </c>
      <c r="K56" s="2"/>
      <c r="L56" s="2"/>
      <c r="M56" s="2"/>
      <c r="N56" s="2">
        <v>1</v>
      </c>
      <c r="O56" s="2"/>
      <c r="P56" s="1">
        <v>7684.71</v>
      </c>
      <c r="Q56" s="2">
        <v>345</v>
      </c>
      <c r="R56" s="2">
        <v>1</v>
      </c>
    </row>
    <row r="57" spans="3:18">
      <c r="C57" t="s">
        <v>18</v>
      </c>
      <c r="D57" s="1"/>
      <c r="E57" s="1"/>
      <c r="F57" s="1"/>
      <c r="G57" s="1">
        <v>771.78</v>
      </c>
      <c r="H57" s="2"/>
      <c r="I57" s="2"/>
      <c r="J57" s="2"/>
      <c r="K57" s="2">
        <v>2968</v>
      </c>
      <c r="L57" s="2"/>
      <c r="M57" s="2"/>
      <c r="N57" s="2"/>
      <c r="O57" s="2">
        <v>1</v>
      </c>
      <c r="P57" s="1">
        <v>771.78</v>
      </c>
      <c r="Q57" s="2">
        <v>2968</v>
      </c>
      <c r="R57" s="2">
        <v>1</v>
      </c>
    </row>
    <row r="58" spans="3:18">
      <c r="C58" t="s">
        <v>100</v>
      </c>
      <c r="D58" s="1"/>
      <c r="E58" s="1"/>
      <c r="F58" s="1">
        <v>2007.88</v>
      </c>
      <c r="G58" s="1"/>
      <c r="H58" s="2"/>
      <c r="I58" s="2"/>
      <c r="J58" s="2">
        <v>4634</v>
      </c>
      <c r="K58" s="2"/>
      <c r="L58" s="2"/>
      <c r="M58" s="2"/>
      <c r="N58" s="2">
        <v>1</v>
      </c>
      <c r="O58" s="2"/>
      <c r="P58" s="1">
        <v>2007.88</v>
      </c>
      <c r="Q58" s="2">
        <v>4634</v>
      </c>
      <c r="R58" s="2">
        <v>1</v>
      </c>
    </row>
    <row r="59" spans="3:18">
      <c r="C59" t="s">
        <v>34</v>
      </c>
      <c r="D59" s="1"/>
      <c r="E59" s="1">
        <v>49499.19</v>
      </c>
      <c r="F59" s="1">
        <v>16402.84</v>
      </c>
      <c r="G59" s="1"/>
      <c r="H59" s="2"/>
      <c r="I59" s="2">
        <v>2642</v>
      </c>
      <c r="J59" s="2">
        <v>3768</v>
      </c>
      <c r="K59" s="2"/>
      <c r="L59" s="2"/>
      <c r="M59" s="2">
        <v>1</v>
      </c>
      <c r="N59" s="2">
        <v>1</v>
      </c>
      <c r="O59" s="2"/>
      <c r="P59" s="1">
        <v>65902.03</v>
      </c>
      <c r="Q59" s="2">
        <v>6410</v>
      </c>
      <c r="R59" s="2">
        <v>2</v>
      </c>
    </row>
    <row r="60" spans="3:18">
      <c r="C60" t="s">
        <v>81</v>
      </c>
      <c r="D60" s="1"/>
      <c r="E60" s="1"/>
      <c r="F60" s="1">
        <v>544.41</v>
      </c>
      <c r="G60" s="1">
        <v>1506.32</v>
      </c>
      <c r="H60" s="2"/>
      <c r="I60" s="2"/>
      <c r="J60" s="2">
        <v>629</v>
      </c>
      <c r="K60" s="2">
        <v>4519</v>
      </c>
      <c r="L60" s="2"/>
      <c r="M60" s="2"/>
      <c r="N60" s="2">
        <v>1</v>
      </c>
      <c r="O60" s="2">
        <v>1</v>
      </c>
      <c r="P60" s="1">
        <v>2050.73</v>
      </c>
      <c r="Q60" s="2">
        <v>5148</v>
      </c>
      <c r="R60" s="2">
        <v>2</v>
      </c>
    </row>
    <row r="61" spans="3:18">
      <c r="C61" t="s">
        <v>25</v>
      </c>
      <c r="D61" s="1"/>
      <c r="E61" s="1"/>
      <c r="F61" s="1"/>
      <c r="G61" s="1">
        <v>641.67</v>
      </c>
      <c r="H61" s="2"/>
      <c r="I61" s="2"/>
      <c r="J61" s="2"/>
      <c r="K61" s="2">
        <v>262</v>
      </c>
      <c r="L61" s="2"/>
      <c r="M61" s="2"/>
      <c r="N61" s="2"/>
      <c r="O61" s="2">
        <v>1</v>
      </c>
      <c r="P61" s="1">
        <v>641.67</v>
      </c>
      <c r="Q61" s="2">
        <v>262</v>
      </c>
      <c r="R61" s="2">
        <v>1</v>
      </c>
    </row>
    <row r="62" spans="3:18">
      <c r="C62" t="s">
        <v>51</v>
      </c>
      <c r="D62" s="1"/>
      <c r="E62" s="1"/>
      <c r="F62" s="1"/>
      <c r="G62" s="1">
        <v>3773.3</v>
      </c>
      <c r="H62" s="2"/>
      <c r="I62" s="2"/>
      <c r="J62" s="2"/>
      <c r="K62" s="2">
        <v>679</v>
      </c>
      <c r="L62" s="2"/>
      <c r="M62" s="2"/>
      <c r="N62" s="2"/>
      <c r="O62" s="2">
        <v>1</v>
      </c>
      <c r="P62" s="1">
        <v>3773.3</v>
      </c>
      <c r="Q62" s="2">
        <v>679</v>
      </c>
      <c r="R62" s="2">
        <v>1</v>
      </c>
    </row>
    <row r="63" spans="3:18">
      <c r="C63" t="s">
        <v>46</v>
      </c>
      <c r="D63" s="1"/>
      <c r="E63" s="1">
        <v>2845.48</v>
      </c>
      <c r="F63" s="1"/>
      <c r="G63" s="1"/>
      <c r="H63" s="2"/>
      <c r="I63" s="2">
        <v>4315</v>
      </c>
      <c r="J63" s="2"/>
      <c r="K63" s="2"/>
      <c r="L63" s="2"/>
      <c r="M63" s="2">
        <v>1</v>
      </c>
      <c r="N63" s="2"/>
      <c r="O63" s="2"/>
      <c r="P63" s="1">
        <v>2845.48</v>
      </c>
      <c r="Q63" s="2">
        <v>4315</v>
      </c>
      <c r="R63" s="2">
        <v>1</v>
      </c>
    </row>
    <row r="64" spans="2:18">
      <c r="B64" t="s">
        <v>568</v>
      </c>
      <c r="D64" s="1"/>
      <c r="E64" s="1">
        <v>52344.67</v>
      </c>
      <c r="F64" s="1">
        <v>26639.84</v>
      </c>
      <c r="G64" s="1">
        <v>6693.07</v>
      </c>
      <c r="H64" s="2"/>
      <c r="I64" s="2">
        <v>6957</v>
      </c>
      <c r="J64" s="2">
        <v>9376</v>
      </c>
      <c r="K64" s="2">
        <v>8428</v>
      </c>
      <c r="L64" s="2"/>
      <c r="M64" s="2">
        <v>2</v>
      </c>
      <c r="N64" s="2">
        <v>4</v>
      </c>
      <c r="O64" s="2">
        <v>4</v>
      </c>
      <c r="P64" s="1">
        <v>85677.58</v>
      </c>
      <c r="Q64" s="2">
        <v>24761</v>
      </c>
      <c r="R64" s="2">
        <v>10</v>
      </c>
    </row>
    <row r="65" spans="2:18">
      <c r="B65" t="s">
        <v>27</v>
      </c>
      <c r="C65" t="s">
        <v>39</v>
      </c>
      <c r="D65" s="1"/>
      <c r="E65" s="1">
        <v>18586.28</v>
      </c>
      <c r="F65" s="1"/>
      <c r="G65" s="1">
        <v>1926.16</v>
      </c>
      <c r="H65" s="2"/>
      <c r="I65" s="2">
        <v>4192</v>
      </c>
      <c r="J65" s="2"/>
      <c r="K65" s="2">
        <v>2750</v>
      </c>
      <c r="L65" s="2"/>
      <c r="M65" s="2">
        <v>1</v>
      </c>
      <c r="N65" s="2"/>
      <c r="O65" s="2">
        <v>1</v>
      </c>
      <c r="P65" s="1">
        <v>20512.44</v>
      </c>
      <c r="Q65" s="2">
        <v>6942</v>
      </c>
      <c r="R65" s="2">
        <v>2</v>
      </c>
    </row>
    <row r="66" spans="3:18">
      <c r="C66" t="s">
        <v>18</v>
      </c>
      <c r="D66" s="1"/>
      <c r="E66" s="1">
        <v>9383.83</v>
      </c>
      <c r="F66" s="1"/>
      <c r="G66" s="1">
        <v>2144.57</v>
      </c>
      <c r="H66" s="2"/>
      <c r="I66" s="2">
        <v>4963</v>
      </c>
      <c r="J66" s="2"/>
      <c r="K66" s="2">
        <v>3883</v>
      </c>
      <c r="L66" s="2"/>
      <c r="M66" s="2">
        <v>1</v>
      </c>
      <c r="N66" s="2"/>
      <c r="O66" s="2">
        <v>1</v>
      </c>
      <c r="P66" s="1">
        <v>11528.4</v>
      </c>
      <c r="Q66" s="2">
        <v>8846</v>
      </c>
      <c r="R66" s="2">
        <v>2</v>
      </c>
    </row>
    <row r="67" spans="3:18">
      <c r="C67" t="s">
        <v>41</v>
      </c>
      <c r="D67" s="1">
        <v>23850.37</v>
      </c>
      <c r="E67" s="1"/>
      <c r="F67" s="1">
        <v>20182.52</v>
      </c>
      <c r="G67" s="1"/>
      <c r="H67" s="2">
        <v>5112</v>
      </c>
      <c r="I67" s="2"/>
      <c r="J67" s="2">
        <v>8552</v>
      </c>
      <c r="K67" s="2"/>
      <c r="L67" s="2">
        <v>2</v>
      </c>
      <c r="M67" s="2"/>
      <c r="N67" s="2">
        <v>3</v>
      </c>
      <c r="O67" s="2"/>
      <c r="P67" s="1">
        <v>44032.89</v>
      </c>
      <c r="Q67" s="2">
        <v>13664</v>
      </c>
      <c r="R67" s="2">
        <v>5</v>
      </c>
    </row>
    <row r="68" spans="3:18">
      <c r="C68" t="s">
        <v>100</v>
      </c>
      <c r="D68" s="1">
        <v>5875.05</v>
      </c>
      <c r="E68" s="1">
        <v>5159.92</v>
      </c>
      <c r="F68" s="1"/>
      <c r="G68" s="1">
        <v>3545.65</v>
      </c>
      <c r="H68" s="2">
        <v>5848</v>
      </c>
      <c r="I68" s="2">
        <v>3215</v>
      </c>
      <c r="J68" s="2"/>
      <c r="K68" s="2">
        <v>1359</v>
      </c>
      <c r="L68" s="2">
        <v>2</v>
      </c>
      <c r="M68" s="2">
        <v>1</v>
      </c>
      <c r="N68" s="2"/>
      <c r="O68" s="2">
        <v>1</v>
      </c>
      <c r="P68" s="1">
        <v>14580.62</v>
      </c>
      <c r="Q68" s="2">
        <v>10422</v>
      </c>
      <c r="R68" s="2">
        <v>4</v>
      </c>
    </row>
    <row r="69" spans="3:18">
      <c r="C69" t="s">
        <v>34</v>
      </c>
      <c r="D69" s="1">
        <v>45849.03</v>
      </c>
      <c r="E69" s="1"/>
      <c r="F69" s="1"/>
      <c r="G69" s="1"/>
      <c r="H69" s="2">
        <v>8838</v>
      </c>
      <c r="I69" s="2"/>
      <c r="J69" s="2"/>
      <c r="K69" s="2"/>
      <c r="L69" s="2">
        <v>2</v>
      </c>
      <c r="M69" s="2"/>
      <c r="N69" s="2"/>
      <c r="O69" s="2"/>
      <c r="P69" s="1">
        <v>45849.03</v>
      </c>
      <c r="Q69" s="2">
        <v>8838</v>
      </c>
      <c r="R69" s="2">
        <v>2</v>
      </c>
    </row>
    <row r="70" spans="3:18">
      <c r="C70" t="s">
        <v>77</v>
      </c>
      <c r="D70" s="1">
        <v>14359.89</v>
      </c>
      <c r="E70" s="1"/>
      <c r="F70" s="1">
        <v>4290.95</v>
      </c>
      <c r="G70" s="1">
        <v>14610.76</v>
      </c>
      <c r="H70" s="2">
        <v>4577</v>
      </c>
      <c r="I70" s="2"/>
      <c r="J70" s="2">
        <v>2202</v>
      </c>
      <c r="K70" s="2">
        <v>2956</v>
      </c>
      <c r="L70" s="2">
        <v>2</v>
      </c>
      <c r="M70" s="2"/>
      <c r="N70" s="2">
        <v>1</v>
      </c>
      <c r="O70" s="2">
        <v>1</v>
      </c>
      <c r="P70" s="1">
        <v>33261.6</v>
      </c>
      <c r="Q70" s="2">
        <v>9735</v>
      </c>
      <c r="R70" s="2">
        <v>4</v>
      </c>
    </row>
    <row r="71" spans="3:18">
      <c r="C71" t="s">
        <v>81</v>
      </c>
      <c r="D71" s="1">
        <v>234.34</v>
      </c>
      <c r="E71" s="1"/>
      <c r="F71" s="1"/>
      <c r="G71" s="1"/>
      <c r="H71" s="2">
        <v>4604</v>
      </c>
      <c r="I71" s="2"/>
      <c r="J71" s="2"/>
      <c r="K71" s="2"/>
      <c r="L71" s="2">
        <v>1</v>
      </c>
      <c r="M71" s="2"/>
      <c r="N71" s="2"/>
      <c r="O71" s="2"/>
      <c r="P71" s="1">
        <v>234.34</v>
      </c>
      <c r="Q71" s="2">
        <v>4604</v>
      </c>
      <c r="R71" s="2">
        <v>1</v>
      </c>
    </row>
    <row r="72" spans="3:18">
      <c r="C72" t="s">
        <v>25</v>
      </c>
      <c r="D72" s="1">
        <v>5120.2</v>
      </c>
      <c r="E72" s="1"/>
      <c r="F72" s="1">
        <v>8267.31</v>
      </c>
      <c r="G72" s="1"/>
      <c r="H72" s="2">
        <v>8848</v>
      </c>
      <c r="I72" s="2"/>
      <c r="J72" s="2">
        <v>4508</v>
      </c>
      <c r="K72" s="2"/>
      <c r="L72" s="2">
        <v>2</v>
      </c>
      <c r="M72" s="2"/>
      <c r="N72" s="2">
        <v>3</v>
      </c>
      <c r="O72" s="2"/>
      <c r="P72" s="1">
        <v>13387.51</v>
      </c>
      <c r="Q72" s="2">
        <v>13356</v>
      </c>
      <c r="R72" s="2">
        <v>5</v>
      </c>
    </row>
    <row r="73" spans="3:18">
      <c r="C73" t="s">
        <v>51</v>
      </c>
      <c r="D73" s="1"/>
      <c r="E73" s="1"/>
      <c r="F73" s="1">
        <v>11780.45</v>
      </c>
      <c r="G73" s="1"/>
      <c r="H73" s="2"/>
      <c r="I73" s="2"/>
      <c r="J73" s="2">
        <v>4803</v>
      </c>
      <c r="K73" s="2"/>
      <c r="L73" s="2"/>
      <c r="M73" s="2"/>
      <c r="N73" s="2">
        <v>2</v>
      </c>
      <c r="O73" s="2"/>
      <c r="P73" s="1">
        <v>11780.45</v>
      </c>
      <c r="Q73" s="2">
        <v>4803</v>
      </c>
      <c r="R73" s="2">
        <v>2</v>
      </c>
    </row>
    <row r="74" spans="2:18">
      <c r="B74" t="s">
        <v>569</v>
      </c>
      <c r="D74" s="1">
        <v>95288.88</v>
      </c>
      <c r="E74" s="1">
        <v>33130.03</v>
      </c>
      <c r="F74" s="1">
        <v>44521.23</v>
      </c>
      <c r="G74" s="1">
        <v>22227.14</v>
      </c>
      <c r="H74" s="2">
        <v>37827</v>
      </c>
      <c r="I74" s="2">
        <v>12370</v>
      </c>
      <c r="J74" s="2">
        <v>20065</v>
      </c>
      <c r="K74" s="2">
        <v>10948</v>
      </c>
      <c r="L74" s="2">
        <v>11</v>
      </c>
      <c r="M74" s="2">
        <v>3</v>
      </c>
      <c r="N74" s="2">
        <v>9</v>
      </c>
      <c r="O74" s="2">
        <v>4</v>
      </c>
      <c r="P74" s="1">
        <v>195167.28</v>
      </c>
      <c r="Q74" s="2">
        <v>81210</v>
      </c>
      <c r="R74" s="2">
        <v>27</v>
      </c>
    </row>
    <row r="75" spans="1:18">
      <c r="A75" t="s">
        <v>573</v>
      </c>
      <c r="D75" s="1">
        <v>95288.88</v>
      </c>
      <c r="E75" s="1">
        <v>85474.7</v>
      </c>
      <c r="F75" s="1">
        <v>71161.07</v>
      </c>
      <c r="G75" s="1">
        <v>28920.21</v>
      </c>
      <c r="H75" s="2">
        <v>37827</v>
      </c>
      <c r="I75" s="2">
        <v>19327</v>
      </c>
      <c r="J75" s="2">
        <v>29441</v>
      </c>
      <c r="K75" s="2">
        <v>19376</v>
      </c>
      <c r="L75" s="2">
        <v>11</v>
      </c>
      <c r="M75" s="2">
        <v>5</v>
      </c>
      <c r="N75" s="2">
        <v>13</v>
      </c>
      <c r="O75" s="2">
        <v>8</v>
      </c>
      <c r="P75" s="1">
        <v>280844.86</v>
      </c>
      <c r="Q75" s="2">
        <v>105971</v>
      </c>
      <c r="R75" s="2">
        <v>37</v>
      </c>
    </row>
    <row r="76" spans="1:18">
      <c r="A76" t="s">
        <v>56</v>
      </c>
      <c r="B76" t="s">
        <v>21</v>
      </c>
      <c r="C76" t="s">
        <v>18</v>
      </c>
      <c r="D76" s="1"/>
      <c r="E76" s="1">
        <v>871.61</v>
      </c>
      <c r="F76" s="1"/>
      <c r="G76" s="1"/>
      <c r="H76" s="2"/>
      <c r="I76" s="2">
        <v>4722</v>
      </c>
      <c r="J76" s="2"/>
      <c r="K76" s="2"/>
      <c r="L76" s="2"/>
      <c r="M76" s="2">
        <v>1</v>
      </c>
      <c r="N76" s="2"/>
      <c r="O76" s="2"/>
      <c r="P76" s="1">
        <v>871.61</v>
      </c>
      <c r="Q76" s="2">
        <v>4722</v>
      </c>
      <c r="R76" s="2">
        <v>1</v>
      </c>
    </row>
    <row r="77" spans="3:18">
      <c r="C77" t="s">
        <v>41</v>
      </c>
      <c r="D77" s="1"/>
      <c r="E77" s="1"/>
      <c r="F77" s="1">
        <v>921.29</v>
      </c>
      <c r="G77" s="1">
        <v>21919.61</v>
      </c>
      <c r="H77" s="2"/>
      <c r="I77" s="2"/>
      <c r="J77" s="2">
        <v>2305</v>
      </c>
      <c r="K77" s="2">
        <v>3683</v>
      </c>
      <c r="L77" s="2"/>
      <c r="M77" s="2"/>
      <c r="N77" s="2">
        <v>1</v>
      </c>
      <c r="O77" s="2">
        <v>1</v>
      </c>
      <c r="P77" s="1">
        <v>22840.9</v>
      </c>
      <c r="Q77" s="2">
        <v>5988</v>
      </c>
      <c r="R77" s="2">
        <v>2</v>
      </c>
    </row>
    <row r="78" spans="3:18">
      <c r="C78" t="s">
        <v>100</v>
      </c>
      <c r="D78" s="1"/>
      <c r="E78" s="1">
        <v>4282.38</v>
      </c>
      <c r="F78" s="1"/>
      <c r="G78" s="1">
        <v>4653.24</v>
      </c>
      <c r="H78" s="2"/>
      <c r="I78" s="2">
        <v>1647</v>
      </c>
      <c r="J78" s="2"/>
      <c r="K78" s="2">
        <v>1789</v>
      </c>
      <c r="L78" s="2"/>
      <c r="M78" s="2">
        <v>1</v>
      </c>
      <c r="N78" s="2"/>
      <c r="O78" s="2">
        <v>1</v>
      </c>
      <c r="P78" s="1">
        <v>8935.62</v>
      </c>
      <c r="Q78" s="2">
        <v>3436</v>
      </c>
      <c r="R78" s="2">
        <v>2</v>
      </c>
    </row>
    <row r="79" spans="3:18">
      <c r="C79" t="s">
        <v>34</v>
      </c>
      <c r="D79" s="1"/>
      <c r="E79" s="1">
        <v>40379.57</v>
      </c>
      <c r="F79" s="1"/>
      <c r="G79" s="1"/>
      <c r="H79" s="2"/>
      <c r="I79" s="2">
        <v>3890</v>
      </c>
      <c r="J79" s="2"/>
      <c r="K79" s="2"/>
      <c r="L79" s="2"/>
      <c r="M79" s="2">
        <v>1</v>
      </c>
      <c r="N79" s="2"/>
      <c r="O79" s="2"/>
      <c r="P79" s="1">
        <v>40379.57</v>
      </c>
      <c r="Q79" s="2">
        <v>3890</v>
      </c>
      <c r="R79" s="2">
        <v>1</v>
      </c>
    </row>
    <row r="80" spans="3:18">
      <c r="C80" t="s">
        <v>77</v>
      </c>
      <c r="D80" s="1"/>
      <c r="E80" s="1"/>
      <c r="F80" s="1">
        <v>7450.81</v>
      </c>
      <c r="G80" s="1">
        <v>13642.93</v>
      </c>
      <c r="H80" s="2"/>
      <c r="I80" s="2"/>
      <c r="J80" s="2">
        <v>4614</v>
      </c>
      <c r="K80" s="2">
        <v>3240</v>
      </c>
      <c r="L80" s="2"/>
      <c r="M80" s="2"/>
      <c r="N80" s="2">
        <v>1</v>
      </c>
      <c r="O80" s="2">
        <v>1</v>
      </c>
      <c r="P80" s="1">
        <v>21093.74</v>
      </c>
      <c r="Q80" s="2">
        <v>7854</v>
      </c>
      <c r="R80" s="2">
        <v>2</v>
      </c>
    </row>
    <row r="81" spans="3:18">
      <c r="C81" t="s">
        <v>81</v>
      </c>
      <c r="D81" s="1"/>
      <c r="E81" s="1">
        <v>1308.78</v>
      </c>
      <c r="F81" s="1"/>
      <c r="G81" s="1"/>
      <c r="H81" s="2"/>
      <c r="I81" s="2">
        <v>1297</v>
      </c>
      <c r="J81" s="2"/>
      <c r="K81" s="2"/>
      <c r="L81" s="2"/>
      <c r="M81" s="2">
        <v>1</v>
      </c>
      <c r="N81" s="2"/>
      <c r="O81" s="2"/>
      <c r="P81" s="1">
        <v>1308.78</v>
      </c>
      <c r="Q81" s="2">
        <v>1297</v>
      </c>
      <c r="R81" s="2">
        <v>1</v>
      </c>
    </row>
    <row r="82" spans="3:18">
      <c r="C82" t="s">
        <v>25</v>
      </c>
      <c r="D82" s="1"/>
      <c r="E82" s="1"/>
      <c r="F82" s="1"/>
      <c r="G82" s="1">
        <v>2779.74</v>
      </c>
      <c r="H82" s="2"/>
      <c r="I82" s="2"/>
      <c r="J82" s="2"/>
      <c r="K82" s="2">
        <v>1740</v>
      </c>
      <c r="L82" s="2"/>
      <c r="M82" s="2"/>
      <c r="N82" s="2"/>
      <c r="O82" s="2">
        <v>1</v>
      </c>
      <c r="P82" s="1">
        <v>2779.74</v>
      </c>
      <c r="Q82" s="2">
        <v>1740</v>
      </c>
      <c r="R82" s="2">
        <v>1</v>
      </c>
    </row>
    <row r="83" spans="3:18">
      <c r="C83" t="s">
        <v>46</v>
      </c>
      <c r="D83" s="1"/>
      <c r="E83" s="1"/>
      <c r="F83" s="1">
        <v>11072.66</v>
      </c>
      <c r="G83" s="1"/>
      <c r="H83" s="2"/>
      <c r="I83" s="2"/>
      <c r="J83" s="2">
        <v>3118</v>
      </c>
      <c r="K83" s="2"/>
      <c r="L83" s="2"/>
      <c r="M83" s="2"/>
      <c r="N83" s="2">
        <v>2</v>
      </c>
      <c r="O83" s="2"/>
      <c r="P83" s="1">
        <v>11072.66</v>
      </c>
      <c r="Q83" s="2">
        <v>3118</v>
      </c>
      <c r="R83" s="2">
        <v>2</v>
      </c>
    </row>
    <row r="84" spans="2:18">
      <c r="B84" t="s">
        <v>568</v>
      </c>
      <c r="D84" s="1"/>
      <c r="E84" s="1">
        <v>46842.34</v>
      </c>
      <c r="F84" s="1">
        <v>19444.76</v>
      </c>
      <c r="G84" s="1">
        <v>42995.52</v>
      </c>
      <c r="H84" s="2"/>
      <c r="I84" s="2">
        <v>11556</v>
      </c>
      <c r="J84" s="2">
        <v>10037</v>
      </c>
      <c r="K84" s="2">
        <v>10452</v>
      </c>
      <c r="L84" s="2"/>
      <c r="M84" s="2">
        <v>4</v>
      </c>
      <c r="N84" s="2">
        <v>4</v>
      </c>
      <c r="O84" s="2">
        <v>4</v>
      </c>
      <c r="P84" s="1">
        <v>109282.62</v>
      </c>
      <c r="Q84" s="2">
        <v>32045</v>
      </c>
      <c r="R84" s="2">
        <v>12</v>
      </c>
    </row>
    <row r="85" spans="2:18">
      <c r="B85" t="s">
        <v>27</v>
      </c>
      <c r="C85" t="s">
        <v>39</v>
      </c>
      <c r="D85" s="1">
        <v>13398.44</v>
      </c>
      <c r="E85" s="1"/>
      <c r="F85" s="1">
        <v>27831.49</v>
      </c>
      <c r="G85" s="1">
        <v>15905.05</v>
      </c>
      <c r="H85" s="2">
        <v>1610</v>
      </c>
      <c r="I85" s="2"/>
      <c r="J85" s="2">
        <v>7824</v>
      </c>
      <c r="K85" s="2">
        <v>4435</v>
      </c>
      <c r="L85" s="2">
        <v>1</v>
      </c>
      <c r="M85" s="2"/>
      <c r="N85" s="2">
        <v>3</v>
      </c>
      <c r="O85" s="2">
        <v>1</v>
      </c>
      <c r="P85" s="1">
        <v>57134.98</v>
      </c>
      <c r="Q85" s="2">
        <v>13869</v>
      </c>
      <c r="R85" s="2">
        <v>5</v>
      </c>
    </row>
    <row r="86" spans="3:18">
      <c r="C86" t="s">
        <v>18</v>
      </c>
      <c r="D86" s="1">
        <v>6430.92</v>
      </c>
      <c r="E86" s="1"/>
      <c r="F86" s="1">
        <v>2817.94</v>
      </c>
      <c r="G86" s="1"/>
      <c r="H86" s="2">
        <v>4765</v>
      </c>
      <c r="I86" s="2"/>
      <c r="J86" s="2">
        <v>4264</v>
      </c>
      <c r="K86" s="2"/>
      <c r="L86" s="2">
        <v>1</v>
      </c>
      <c r="M86" s="2"/>
      <c r="N86" s="2">
        <v>1</v>
      </c>
      <c r="O86" s="2"/>
      <c r="P86" s="1">
        <v>9248.86</v>
      </c>
      <c r="Q86" s="2">
        <v>9029</v>
      </c>
      <c r="R86" s="2">
        <v>2</v>
      </c>
    </row>
    <row r="87" spans="3:18">
      <c r="C87" t="s">
        <v>41</v>
      </c>
      <c r="D87" s="1"/>
      <c r="E87" s="1"/>
      <c r="F87" s="1">
        <v>1625.67</v>
      </c>
      <c r="G87" s="1">
        <v>1153.65</v>
      </c>
      <c r="H87" s="2"/>
      <c r="I87" s="2"/>
      <c r="J87" s="2">
        <v>1086</v>
      </c>
      <c r="K87" s="2">
        <v>1664</v>
      </c>
      <c r="L87" s="2"/>
      <c r="M87" s="2"/>
      <c r="N87" s="2">
        <v>1</v>
      </c>
      <c r="O87" s="2">
        <v>1</v>
      </c>
      <c r="P87" s="1">
        <v>2779.32</v>
      </c>
      <c r="Q87" s="2">
        <v>2750</v>
      </c>
      <c r="R87" s="2">
        <v>2</v>
      </c>
    </row>
    <row r="88" spans="3:18">
      <c r="C88" t="s">
        <v>100</v>
      </c>
      <c r="D88" s="1">
        <v>10960.68</v>
      </c>
      <c r="E88" s="1">
        <v>5410.84</v>
      </c>
      <c r="F88" s="1">
        <v>3849.03</v>
      </c>
      <c r="G88" s="1">
        <v>3775.95</v>
      </c>
      <c r="H88" s="2">
        <v>1274</v>
      </c>
      <c r="I88" s="2">
        <v>778</v>
      </c>
      <c r="J88" s="2">
        <v>3891</v>
      </c>
      <c r="K88" s="2">
        <v>1966</v>
      </c>
      <c r="L88" s="2">
        <v>2</v>
      </c>
      <c r="M88" s="2">
        <v>1</v>
      </c>
      <c r="N88" s="2">
        <v>2</v>
      </c>
      <c r="O88" s="2">
        <v>1</v>
      </c>
      <c r="P88" s="1">
        <v>23996.5</v>
      </c>
      <c r="Q88" s="2">
        <v>7909</v>
      </c>
      <c r="R88" s="2">
        <v>6</v>
      </c>
    </row>
    <row r="89" spans="3:18">
      <c r="C89" t="s">
        <v>34</v>
      </c>
      <c r="D89" s="1"/>
      <c r="E89" s="1">
        <v>24815</v>
      </c>
      <c r="F89" s="1">
        <v>131529.99</v>
      </c>
      <c r="G89" s="1"/>
      <c r="H89" s="2"/>
      <c r="I89" s="2">
        <v>1978</v>
      </c>
      <c r="J89" s="2">
        <v>11126</v>
      </c>
      <c r="K89" s="2"/>
      <c r="L89" s="2"/>
      <c r="M89" s="2">
        <v>1</v>
      </c>
      <c r="N89" s="2">
        <v>3</v>
      </c>
      <c r="O89" s="2"/>
      <c r="P89" s="1">
        <v>156344.99</v>
      </c>
      <c r="Q89" s="2">
        <v>13104</v>
      </c>
      <c r="R89" s="2">
        <v>4</v>
      </c>
    </row>
    <row r="90" spans="3:18">
      <c r="C90" t="s">
        <v>77</v>
      </c>
      <c r="D90" s="1"/>
      <c r="E90" s="1"/>
      <c r="F90" s="1">
        <v>8206.09</v>
      </c>
      <c r="G90" s="1"/>
      <c r="H90" s="2"/>
      <c r="I90" s="2"/>
      <c r="J90" s="2">
        <v>9799</v>
      </c>
      <c r="K90" s="2"/>
      <c r="L90" s="2"/>
      <c r="M90" s="2"/>
      <c r="N90" s="2">
        <v>3</v>
      </c>
      <c r="O90" s="2"/>
      <c r="P90" s="1">
        <v>8206.09</v>
      </c>
      <c r="Q90" s="2">
        <v>9799</v>
      </c>
      <c r="R90" s="2">
        <v>3</v>
      </c>
    </row>
    <row r="91" spans="3:18">
      <c r="C91" t="s">
        <v>81</v>
      </c>
      <c r="D91" s="1"/>
      <c r="E91" s="1"/>
      <c r="F91" s="1"/>
      <c r="G91" s="1">
        <v>759.42</v>
      </c>
      <c r="H91" s="2"/>
      <c r="I91" s="2"/>
      <c r="J91" s="2"/>
      <c r="K91" s="2">
        <v>7199</v>
      </c>
      <c r="L91" s="2"/>
      <c r="M91" s="2"/>
      <c r="N91" s="2"/>
      <c r="O91" s="2">
        <v>2</v>
      </c>
      <c r="P91" s="1">
        <v>759.42</v>
      </c>
      <c r="Q91" s="2">
        <v>7199</v>
      </c>
      <c r="R91" s="2">
        <v>2</v>
      </c>
    </row>
    <row r="92" spans="3:18">
      <c r="C92" t="s">
        <v>25</v>
      </c>
      <c r="D92" s="1"/>
      <c r="E92" s="1"/>
      <c r="F92" s="1">
        <v>7953.58</v>
      </c>
      <c r="G92" s="1"/>
      <c r="H92" s="2"/>
      <c r="I92" s="2"/>
      <c r="J92" s="2">
        <v>1405</v>
      </c>
      <c r="K92" s="2"/>
      <c r="L92" s="2"/>
      <c r="M92" s="2"/>
      <c r="N92" s="2">
        <v>2</v>
      </c>
      <c r="O92" s="2"/>
      <c r="P92" s="1">
        <v>7953.58</v>
      </c>
      <c r="Q92" s="2">
        <v>1405</v>
      </c>
      <c r="R92" s="2">
        <v>2</v>
      </c>
    </row>
    <row r="93" spans="3:18">
      <c r="C93" t="s">
        <v>51</v>
      </c>
      <c r="D93" s="1">
        <v>9332.68</v>
      </c>
      <c r="E93" s="1">
        <v>12851.46</v>
      </c>
      <c r="F93" s="1">
        <v>10482.81</v>
      </c>
      <c r="G93" s="1"/>
      <c r="H93" s="2">
        <v>2043</v>
      </c>
      <c r="I93" s="2">
        <v>810</v>
      </c>
      <c r="J93" s="2">
        <v>4778</v>
      </c>
      <c r="K93" s="2"/>
      <c r="L93" s="2">
        <v>1</v>
      </c>
      <c r="M93" s="2">
        <v>1</v>
      </c>
      <c r="N93" s="2">
        <v>1</v>
      </c>
      <c r="O93" s="2"/>
      <c r="P93" s="1">
        <v>32666.95</v>
      </c>
      <c r="Q93" s="2">
        <v>7631</v>
      </c>
      <c r="R93" s="2">
        <v>3</v>
      </c>
    </row>
    <row r="94" spans="3:18">
      <c r="C94" t="s">
        <v>46</v>
      </c>
      <c r="D94" s="1"/>
      <c r="E94" s="1"/>
      <c r="F94" s="1">
        <v>3250.63</v>
      </c>
      <c r="G94" s="1"/>
      <c r="H94" s="2"/>
      <c r="I94" s="2"/>
      <c r="J94" s="2">
        <v>46</v>
      </c>
      <c r="K94" s="2"/>
      <c r="L94" s="2"/>
      <c r="M94" s="2"/>
      <c r="N94" s="2">
        <v>1</v>
      </c>
      <c r="O94" s="2"/>
      <c r="P94" s="1">
        <v>3250.63</v>
      </c>
      <c r="Q94" s="2">
        <v>46</v>
      </c>
      <c r="R94" s="2">
        <v>1</v>
      </c>
    </row>
    <row r="95" spans="2:18">
      <c r="B95" t="s">
        <v>569</v>
      </c>
      <c r="D95" s="1">
        <v>40122.72</v>
      </c>
      <c r="E95" s="1">
        <v>43077.3</v>
      </c>
      <c r="F95" s="1">
        <v>197547.23</v>
      </c>
      <c r="G95" s="1">
        <v>21594.07</v>
      </c>
      <c r="H95" s="2">
        <v>9692</v>
      </c>
      <c r="I95" s="2">
        <v>3566</v>
      </c>
      <c r="J95" s="2">
        <v>44219</v>
      </c>
      <c r="K95" s="2">
        <v>15264</v>
      </c>
      <c r="L95" s="2">
        <v>5</v>
      </c>
      <c r="M95" s="2">
        <v>3</v>
      </c>
      <c r="N95" s="2">
        <v>17</v>
      </c>
      <c r="O95" s="2">
        <v>5</v>
      </c>
      <c r="P95" s="1">
        <v>302341.32</v>
      </c>
      <c r="Q95" s="2">
        <v>72741</v>
      </c>
      <c r="R95" s="2">
        <v>30</v>
      </c>
    </row>
    <row r="96" spans="1:18">
      <c r="A96" t="s">
        <v>574</v>
      </c>
      <c r="D96" s="1">
        <v>40122.72</v>
      </c>
      <c r="E96" s="1">
        <v>89919.64</v>
      </c>
      <c r="F96" s="1">
        <v>216991.99</v>
      </c>
      <c r="G96" s="1">
        <v>64589.59</v>
      </c>
      <c r="H96" s="2">
        <v>9692</v>
      </c>
      <c r="I96" s="2">
        <v>15122</v>
      </c>
      <c r="J96" s="2">
        <v>54256</v>
      </c>
      <c r="K96" s="2">
        <v>25716</v>
      </c>
      <c r="L96" s="2">
        <v>5</v>
      </c>
      <c r="M96" s="2">
        <v>7</v>
      </c>
      <c r="N96" s="2">
        <v>21</v>
      </c>
      <c r="O96" s="2">
        <v>9</v>
      </c>
      <c r="P96" s="1">
        <v>411623.94</v>
      </c>
      <c r="Q96" s="2">
        <v>104786</v>
      </c>
      <c r="R96" s="2">
        <v>42</v>
      </c>
    </row>
    <row r="97" spans="1:18">
      <c r="A97" t="s">
        <v>58</v>
      </c>
      <c r="B97" t="s">
        <v>21</v>
      </c>
      <c r="C97" t="s">
        <v>41</v>
      </c>
      <c r="D97" s="1"/>
      <c r="E97" s="1"/>
      <c r="F97" s="1">
        <v>21261.82</v>
      </c>
      <c r="G97" s="1">
        <v>5896.35</v>
      </c>
      <c r="H97" s="2"/>
      <c r="I97" s="2"/>
      <c r="J97" s="2">
        <v>2245</v>
      </c>
      <c r="K97" s="2">
        <v>2289</v>
      </c>
      <c r="L97" s="2"/>
      <c r="M97" s="2"/>
      <c r="N97" s="2">
        <v>1</v>
      </c>
      <c r="O97" s="2">
        <v>1</v>
      </c>
      <c r="P97" s="1">
        <v>27158.17</v>
      </c>
      <c r="Q97" s="2">
        <v>4534</v>
      </c>
      <c r="R97" s="2">
        <v>2</v>
      </c>
    </row>
    <row r="98" spans="3:18">
      <c r="C98" t="s">
        <v>77</v>
      </c>
      <c r="D98" s="1"/>
      <c r="E98" s="1"/>
      <c r="F98" s="1">
        <v>8574.08</v>
      </c>
      <c r="G98" s="1"/>
      <c r="H98" s="2"/>
      <c r="I98" s="2"/>
      <c r="J98" s="2">
        <v>76</v>
      </c>
      <c r="K98" s="2"/>
      <c r="L98" s="2"/>
      <c r="M98" s="2"/>
      <c r="N98" s="2">
        <v>1</v>
      </c>
      <c r="O98" s="2"/>
      <c r="P98" s="1">
        <v>8574.08</v>
      </c>
      <c r="Q98" s="2">
        <v>76</v>
      </c>
      <c r="R98" s="2">
        <v>1</v>
      </c>
    </row>
    <row r="99" spans="3:18">
      <c r="C99" t="s">
        <v>81</v>
      </c>
      <c r="D99" s="1"/>
      <c r="E99" s="1"/>
      <c r="F99" s="1">
        <v>1436.13</v>
      </c>
      <c r="G99" s="1"/>
      <c r="H99" s="2"/>
      <c r="I99" s="2"/>
      <c r="J99" s="2">
        <v>3944</v>
      </c>
      <c r="K99" s="2"/>
      <c r="L99" s="2"/>
      <c r="M99" s="2"/>
      <c r="N99" s="2">
        <v>1</v>
      </c>
      <c r="O99" s="2"/>
      <c r="P99" s="1">
        <v>1436.13</v>
      </c>
      <c r="Q99" s="2">
        <v>3944</v>
      </c>
      <c r="R99" s="2">
        <v>1</v>
      </c>
    </row>
    <row r="100" spans="3:18">
      <c r="C100" t="s">
        <v>25</v>
      </c>
      <c r="D100" s="1"/>
      <c r="E100" s="1"/>
      <c r="F100" s="1">
        <v>728.35</v>
      </c>
      <c r="G100" s="1"/>
      <c r="H100" s="2"/>
      <c r="I100" s="2"/>
      <c r="J100" s="2">
        <v>4612</v>
      </c>
      <c r="K100" s="2"/>
      <c r="L100" s="2"/>
      <c r="M100" s="2"/>
      <c r="N100" s="2">
        <v>1</v>
      </c>
      <c r="O100" s="2"/>
      <c r="P100" s="1">
        <v>728.35</v>
      </c>
      <c r="Q100" s="2">
        <v>4612</v>
      </c>
      <c r="R100" s="2">
        <v>1</v>
      </c>
    </row>
    <row r="101" spans="2:18">
      <c r="B101" t="s">
        <v>568</v>
      </c>
      <c r="D101" s="1"/>
      <c r="E101" s="1"/>
      <c r="F101" s="1">
        <v>32000.38</v>
      </c>
      <c r="G101" s="1">
        <v>5896.35</v>
      </c>
      <c r="H101" s="2"/>
      <c r="I101" s="2"/>
      <c r="J101" s="2">
        <v>10877</v>
      </c>
      <c r="K101" s="2">
        <v>2289</v>
      </c>
      <c r="L101" s="2"/>
      <c r="M101" s="2"/>
      <c r="N101" s="2">
        <v>4</v>
      </c>
      <c r="O101" s="2">
        <v>1</v>
      </c>
      <c r="P101" s="1">
        <v>37896.73</v>
      </c>
      <c r="Q101" s="2">
        <v>13166</v>
      </c>
      <c r="R101" s="2">
        <v>5</v>
      </c>
    </row>
    <row r="102" spans="2:18">
      <c r="B102" t="s">
        <v>27</v>
      </c>
      <c r="C102" t="s">
        <v>39</v>
      </c>
      <c r="D102" s="1"/>
      <c r="E102" s="1">
        <v>4324.8</v>
      </c>
      <c r="F102" s="1">
        <v>18194.91</v>
      </c>
      <c r="G102" s="1"/>
      <c r="H102" s="2"/>
      <c r="I102" s="2">
        <v>1133</v>
      </c>
      <c r="J102" s="2">
        <v>4297</v>
      </c>
      <c r="K102" s="2"/>
      <c r="L102" s="2"/>
      <c r="M102" s="2">
        <v>1</v>
      </c>
      <c r="N102" s="2">
        <v>1</v>
      </c>
      <c r="O102" s="2"/>
      <c r="P102" s="1">
        <v>22519.71</v>
      </c>
      <c r="Q102" s="2">
        <v>5430</v>
      </c>
      <c r="R102" s="2">
        <v>2</v>
      </c>
    </row>
    <row r="103" spans="3:18">
      <c r="C103" t="s">
        <v>18</v>
      </c>
      <c r="D103" s="1">
        <v>4131.88</v>
      </c>
      <c r="E103" s="1"/>
      <c r="F103" s="1">
        <v>9995.55</v>
      </c>
      <c r="G103" s="1"/>
      <c r="H103" s="2">
        <v>1720</v>
      </c>
      <c r="I103" s="2"/>
      <c r="J103" s="2">
        <v>4837</v>
      </c>
      <c r="K103" s="2"/>
      <c r="L103" s="2">
        <v>1</v>
      </c>
      <c r="M103" s="2"/>
      <c r="N103" s="2">
        <v>2</v>
      </c>
      <c r="O103" s="2"/>
      <c r="P103" s="1">
        <v>14127.43</v>
      </c>
      <c r="Q103" s="2">
        <v>6557</v>
      </c>
      <c r="R103" s="2">
        <v>3</v>
      </c>
    </row>
    <row r="104" spans="3:18">
      <c r="C104" t="s">
        <v>41</v>
      </c>
      <c r="D104" s="1">
        <v>11504.1</v>
      </c>
      <c r="E104" s="1"/>
      <c r="F104" s="1"/>
      <c r="G104" s="1">
        <v>26956.32</v>
      </c>
      <c r="H104" s="2">
        <v>1902</v>
      </c>
      <c r="I104" s="2"/>
      <c r="J104" s="2"/>
      <c r="K104" s="2">
        <v>2538</v>
      </c>
      <c r="L104" s="2">
        <v>1</v>
      </c>
      <c r="M104" s="2"/>
      <c r="N104" s="2"/>
      <c r="O104" s="2">
        <v>2</v>
      </c>
      <c r="P104" s="1">
        <v>38460.42</v>
      </c>
      <c r="Q104" s="2">
        <v>4440</v>
      </c>
      <c r="R104" s="2">
        <v>3</v>
      </c>
    </row>
    <row r="105" spans="3:18">
      <c r="C105" t="s">
        <v>100</v>
      </c>
      <c r="D105" s="1">
        <v>3867.18</v>
      </c>
      <c r="E105" s="1"/>
      <c r="F105" s="1">
        <v>7137.64</v>
      </c>
      <c r="G105" s="1"/>
      <c r="H105" s="2">
        <v>4329</v>
      </c>
      <c r="I105" s="2"/>
      <c r="J105" s="2">
        <v>8035</v>
      </c>
      <c r="K105" s="2"/>
      <c r="L105" s="2">
        <v>1</v>
      </c>
      <c r="M105" s="2"/>
      <c r="N105" s="2">
        <v>2</v>
      </c>
      <c r="O105" s="2"/>
      <c r="P105" s="1">
        <v>11004.82</v>
      </c>
      <c r="Q105" s="2">
        <v>12364</v>
      </c>
      <c r="R105" s="2">
        <v>3</v>
      </c>
    </row>
    <row r="106" spans="3:18">
      <c r="C106" t="s">
        <v>34</v>
      </c>
      <c r="D106" s="1"/>
      <c r="E106" s="1"/>
      <c r="F106" s="1">
        <v>56819.4</v>
      </c>
      <c r="G106" s="1">
        <v>53664.17</v>
      </c>
      <c r="H106" s="2"/>
      <c r="I106" s="2"/>
      <c r="J106" s="2">
        <v>5291</v>
      </c>
      <c r="K106" s="2">
        <v>3196</v>
      </c>
      <c r="L106" s="2"/>
      <c r="M106" s="2"/>
      <c r="N106" s="2">
        <v>2</v>
      </c>
      <c r="O106" s="2">
        <v>2</v>
      </c>
      <c r="P106" s="1">
        <v>110483.57</v>
      </c>
      <c r="Q106" s="2">
        <v>8487</v>
      </c>
      <c r="R106" s="2">
        <v>4</v>
      </c>
    </row>
    <row r="107" spans="3:18">
      <c r="C107" t="s">
        <v>77</v>
      </c>
      <c r="D107" s="1">
        <v>14907.3</v>
      </c>
      <c r="E107" s="1">
        <v>14847.25</v>
      </c>
      <c r="F107" s="1">
        <v>10447.82</v>
      </c>
      <c r="G107" s="1"/>
      <c r="H107" s="2">
        <v>224</v>
      </c>
      <c r="I107" s="2">
        <v>900</v>
      </c>
      <c r="J107" s="2">
        <v>2175</v>
      </c>
      <c r="K107" s="2"/>
      <c r="L107" s="2">
        <v>1</v>
      </c>
      <c r="M107" s="2">
        <v>1</v>
      </c>
      <c r="N107" s="2">
        <v>2</v>
      </c>
      <c r="O107" s="2"/>
      <c r="P107" s="1">
        <v>40202.37</v>
      </c>
      <c r="Q107" s="2">
        <v>3299</v>
      </c>
      <c r="R107" s="2">
        <v>4</v>
      </c>
    </row>
    <row r="108" spans="3:18">
      <c r="C108" t="s">
        <v>81</v>
      </c>
      <c r="D108" s="1"/>
      <c r="E108" s="1"/>
      <c r="F108" s="1">
        <v>2381.08</v>
      </c>
      <c r="G108" s="1"/>
      <c r="H108" s="2"/>
      <c r="I108" s="2"/>
      <c r="J108" s="2">
        <v>4303</v>
      </c>
      <c r="K108" s="2"/>
      <c r="L108" s="2"/>
      <c r="M108" s="2"/>
      <c r="N108" s="2">
        <v>2</v>
      </c>
      <c r="O108" s="2"/>
      <c r="P108" s="1">
        <v>2381.08</v>
      </c>
      <c r="Q108" s="2">
        <v>4303</v>
      </c>
      <c r="R108" s="2">
        <v>2</v>
      </c>
    </row>
    <row r="109" spans="3:18">
      <c r="C109" t="s">
        <v>25</v>
      </c>
      <c r="D109" s="1"/>
      <c r="E109" s="1">
        <v>4218</v>
      </c>
      <c r="F109" s="1"/>
      <c r="G109" s="1"/>
      <c r="H109" s="2"/>
      <c r="I109" s="2">
        <v>976</v>
      </c>
      <c r="J109" s="2"/>
      <c r="K109" s="2"/>
      <c r="L109" s="2"/>
      <c r="M109" s="2">
        <v>1</v>
      </c>
      <c r="N109" s="2"/>
      <c r="O109" s="2"/>
      <c r="P109" s="1">
        <v>4218</v>
      </c>
      <c r="Q109" s="2">
        <v>976</v>
      </c>
      <c r="R109" s="2">
        <v>1</v>
      </c>
    </row>
    <row r="110" spans="3:18">
      <c r="C110" t="s">
        <v>51</v>
      </c>
      <c r="D110" s="1">
        <v>13416.45</v>
      </c>
      <c r="E110" s="1"/>
      <c r="F110" s="1"/>
      <c r="G110" s="1">
        <v>5465.45</v>
      </c>
      <c r="H110" s="2">
        <v>3477</v>
      </c>
      <c r="I110" s="2"/>
      <c r="J110" s="2"/>
      <c r="K110" s="2">
        <v>344</v>
      </c>
      <c r="L110" s="2">
        <v>1</v>
      </c>
      <c r="M110" s="2"/>
      <c r="N110" s="2"/>
      <c r="O110" s="2">
        <v>1</v>
      </c>
      <c r="P110" s="1">
        <v>18881.9</v>
      </c>
      <c r="Q110" s="2">
        <v>3821</v>
      </c>
      <c r="R110" s="2">
        <v>2</v>
      </c>
    </row>
    <row r="111" spans="2:18">
      <c r="B111" t="s">
        <v>569</v>
      </c>
      <c r="D111" s="1">
        <v>47826.91</v>
      </c>
      <c r="E111" s="1">
        <v>23390.05</v>
      </c>
      <c r="F111" s="1">
        <v>104976.4</v>
      </c>
      <c r="G111" s="1">
        <v>86085.94</v>
      </c>
      <c r="H111" s="2">
        <v>11652</v>
      </c>
      <c r="I111" s="2">
        <v>3009</v>
      </c>
      <c r="J111" s="2">
        <v>28938</v>
      </c>
      <c r="K111" s="2">
        <v>6078</v>
      </c>
      <c r="L111" s="2">
        <v>5</v>
      </c>
      <c r="M111" s="2">
        <v>3</v>
      </c>
      <c r="N111" s="2">
        <v>11</v>
      </c>
      <c r="O111" s="2">
        <v>5</v>
      </c>
      <c r="P111" s="1">
        <v>262279.3</v>
      </c>
      <c r="Q111" s="2">
        <v>49677</v>
      </c>
      <c r="R111" s="2">
        <v>24</v>
      </c>
    </row>
    <row r="112" spans="1:18">
      <c r="A112" t="s">
        <v>575</v>
      </c>
      <c r="D112" s="1">
        <v>47826.91</v>
      </c>
      <c r="E112" s="1">
        <v>23390.05</v>
      </c>
      <c r="F112" s="1">
        <v>136976.78</v>
      </c>
      <c r="G112" s="1">
        <v>91982.29</v>
      </c>
      <c r="H112" s="2">
        <v>11652</v>
      </c>
      <c r="I112" s="2">
        <v>3009</v>
      </c>
      <c r="J112" s="2">
        <v>39815</v>
      </c>
      <c r="K112" s="2">
        <v>8367</v>
      </c>
      <c r="L112" s="2">
        <v>5</v>
      </c>
      <c r="M112" s="2">
        <v>3</v>
      </c>
      <c r="N112" s="2">
        <v>15</v>
      </c>
      <c r="O112" s="2">
        <v>6</v>
      </c>
      <c r="P112" s="1">
        <v>300176.03</v>
      </c>
      <c r="Q112" s="2">
        <v>62843</v>
      </c>
      <c r="R112" s="2">
        <v>29</v>
      </c>
    </row>
    <row r="113" spans="1:18">
      <c r="A113" t="s">
        <v>24</v>
      </c>
      <c r="B113" t="s">
        <v>21</v>
      </c>
      <c r="C113" t="s">
        <v>18</v>
      </c>
      <c r="D113" s="1"/>
      <c r="E113" s="1"/>
      <c r="F113" s="1">
        <v>5169.58</v>
      </c>
      <c r="G113" s="1"/>
      <c r="H113" s="2"/>
      <c r="I113" s="2"/>
      <c r="J113" s="2">
        <v>3003</v>
      </c>
      <c r="K113" s="2"/>
      <c r="L113" s="2"/>
      <c r="M113" s="2"/>
      <c r="N113" s="2">
        <v>1</v>
      </c>
      <c r="O113" s="2"/>
      <c r="P113" s="1">
        <v>5169.58</v>
      </c>
      <c r="Q113" s="2">
        <v>3003</v>
      </c>
      <c r="R113" s="2">
        <v>1</v>
      </c>
    </row>
    <row r="114" spans="3:18">
      <c r="C114" t="s">
        <v>77</v>
      </c>
      <c r="D114" s="1"/>
      <c r="E114" s="1"/>
      <c r="F114" s="1">
        <v>11229.17</v>
      </c>
      <c r="G114" s="1"/>
      <c r="H114" s="2"/>
      <c r="I114" s="2"/>
      <c r="J114" s="2">
        <v>1394</v>
      </c>
      <c r="K114" s="2"/>
      <c r="L114" s="2"/>
      <c r="M114" s="2"/>
      <c r="N114" s="2">
        <v>1</v>
      </c>
      <c r="O114" s="2"/>
      <c r="P114" s="1">
        <v>11229.17</v>
      </c>
      <c r="Q114" s="2">
        <v>1394</v>
      </c>
      <c r="R114" s="2">
        <v>1</v>
      </c>
    </row>
    <row r="115" spans="3:18">
      <c r="C115" t="s">
        <v>81</v>
      </c>
      <c r="D115" s="1"/>
      <c r="E115" s="1"/>
      <c r="F115" s="1">
        <v>2495.81</v>
      </c>
      <c r="G115" s="1"/>
      <c r="H115" s="2"/>
      <c r="I115" s="2"/>
      <c r="J115" s="2">
        <v>359</v>
      </c>
      <c r="K115" s="2"/>
      <c r="L115" s="2"/>
      <c r="M115" s="2"/>
      <c r="N115" s="2">
        <v>1</v>
      </c>
      <c r="O115" s="2"/>
      <c r="P115" s="1">
        <v>2495.81</v>
      </c>
      <c r="Q115" s="2">
        <v>359</v>
      </c>
      <c r="R115" s="2">
        <v>1</v>
      </c>
    </row>
    <row r="116" spans="3:18">
      <c r="C116" t="s">
        <v>51</v>
      </c>
      <c r="D116" s="1"/>
      <c r="E116" s="1"/>
      <c r="F116" s="1">
        <v>22803.19</v>
      </c>
      <c r="G116" s="1"/>
      <c r="H116" s="2"/>
      <c r="I116" s="2"/>
      <c r="J116" s="2">
        <v>5013</v>
      </c>
      <c r="K116" s="2"/>
      <c r="L116" s="2"/>
      <c r="M116" s="2"/>
      <c r="N116" s="2">
        <v>2</v>
      </c>
      <c r="O116" s="2"/>
      <c r="P116" s="1">
        <v>22803.19</v>
      </c>
      <c r="Q116" s="2">
        <v>5013</v>
      </c>
      <c r="R116" s="2">
        <v>2</v>
      </c>
    </row>
    <row r="117" spans="3:18">
      <c r="C117" t="s">
        <v>46</v>
      </c>
      <c r="D117" s="1"/>
      <c r="E117" s="1"/>
      <c r="F117" s="1">
        <v>957.88</v>
      </c>
      <c r="G117" s="1"/>
      <c r="H117" s="2"/>
      <c r="I117" s="2"/>
      <c r="J117" s="2">
        <v>617</v>
      </c>
      <c r="K117" s="2"/>
      <c r="L117" s="2"/>
      <c r="M117" s="2"/>
      <c r="N117" s="2">
        <v>1</v>
      </c>
      <c r="O117" s="2"/>
      <c r="P117" s="1">
        <v>957.88</v>
      </c>
      <c r="Q117" s="2">
        <v>617</v>
      </c>
      <c r="R117" s="2">
        <v>1</v>
      </c>
    </row>
    <row r="118" spans="2:18">
      <c r="B118" t="s">
        <v>568</v>
      </c>
      <c r="D118" s="1"/>
      <c r="E118" s="1"/>
      <c r="F118" s="1">
        <v>42655.63</v>
      </c>
      <c r="G118" s="1"/>
      <c r="H118" s="2"/>
      <c r="I118" s="2"/>
      <c r="J118" s="2">
        <v>10386</v>
      </c>
      <c r="K118" s="2"/>
      <c r="L118" s="2"/>
      <c r="M118" s="2"/>
      <c r="N118" s="2">
        <v>6</v>
      </c>
      <c r="O118" s="2"/>
      <c r="P118" s="1">
        <v>42655.63</v>
      </c>
      <c r="Q118" s="2">
        <v>10386</v>
      </c>
      <c r="R118" s="2">
        <v>6</v>
      </c>
    </row>
    <row r="119" spans="2:18">
      <c r="B119" t="s">
        <v>27</v>
      </c>
      <c r="C119" t="s">
        <v>39</v>
      </c>
      <c r="D119" s="1">
        <v>19097.85</v>
      </c>
      <c r="E119" s="1">
        <v>18713.1</v>
      </c>
      <c r="F119" s="1">
        <v>21848.86</v>
      </c>
      <c r="G119" s="1"/>
      <c r="H119" s="2">
        <v>2425</v>
      </c>
      <c r="I119" s="2">
        <v>1108</v>
      </c>
      <c r="J119" s="2">
        <v>4746</v>
      </c>
      <c r="K119" s="2"/>
      <c r="L119" s="2">
        <v>1</v>
      </c>
      <c r="M119" s="2">
        <v>1</v>
      </c>
      <c r="N119" s="2">
        <v>2</v>
      </c>
      <c r="O119" s="2"/>
      <c r="P119" s="1">
        <v>59659.81</v>
      </c>
      <c r="Q119" s="2">
        <v>8279</v>
      </c>
      <c r="R119" s="2">
        <v>4</v>
      </c>
    </row>
    <row r="120" spans="3:18">
      <c r="C120" t="s">
        <v>18</v>
      </c>
      <c r="D120" s="1"/>
      <c r="E120" s="1"/>
      <c r="F120" s="1">
        <v>10344.76</v>
      </c>
      <c r="G120" s="1">
        <v>8272.48</v>
      </c>
      <c r="H120" s="2"/>
      <c r="I120" s="2"/>
      <c r="J120" s="2">
        <v>5483</v>
      </c>
      <c r="K120" s="2">
        <v>2395</v>
      </c>
      <c r="L120" s="2"/>
      <c r="M120" s="2"/>
      <c r="N120" s="2">
        <v>3</v>
      </c>
      <c r="O120" s="2">
        <v>1</v>
      </c>
      <c r="P120" s="1">
        <v>18617.24</v>
      </c>
      <c r="Q120" s="2">
        <v>7878</v>
      </c>
      <c r="R120" s="2">
        <v>4</v>
      </c>
    </row>
    <row r="121" spans="3:18">
      <c r="C121" t="s">
        <v>41</v>
      </c>
      <c r="D121" s="1">
        <v>20781.72</v>
      </c>
      <c r="E121" s="1"/>
      <c r="F121" s="1">
        <v>33308.06</v>
      </c>
      <c r="G121" s="1"/>
      <c r="H121" s="2">
        <v>2634</v>
      </c>
      <c r="I121" s="2"/>
      <c r="J121" s="2">
        <v>2859</v>
      </c>
      <c r="K121" s="2"/>
      <c r="L121" s="2">
        <v>1</v>
      </c>
      <c r="M121" s="2"/>
      <c r="N121" s="2">
        <v>3</v>
      </c>
      <c r="O121" s="2"/>
      <c r="P121" s="1">
        <v>54089.78</v>
      </c>
      <c r="Q121" s="2">
        <v>5493</v>
      </c>
      <c r="R121" s="2">
        <v>4</v>
      </c>
    </row>
    <row r="122" spans="3:18">
      <c r="C122" t="s">
        <v>100</v>
      </c>
      <c r="D122" s="1">
        <v>612.23</v>
      </c>
      <c r="E122" s="1">
        <v>2080.83</v>
      </c>
      <c r="F122" s="1"/>
      <c r="G122" s="1"/>
      <c r="H122" s="2">
        <v>2716</v>
      </c>
      <c r="I122" s="2">
        <v>829</v>
      </c>
      <c r="J122" s="2"/>
      <c r="K122" s="2"/>
      <c r="L122" s="2">
        <v>1</v>
      </c>
      <c r="M122" s="2">
        <v>1</v>
      </c>
      <c r="N122" s="2"/>
      <c r="O122" s="2"/>
      <c r="P122" s="1">
        <v>2693.06</v>
      </c>
      <c r="Q122" s="2">
        <v>3545</v>
      </c>
      <c r="R122" s="2">
        <v>2</v>
      </c>
    </row>
    <row r="123" spans="3:18">
      <c r="C123" t="s">
        <v>34</v>
      </c>
      <c r="D123" s="1">
        <v>40028.33</v>
      </c>
      <c r="E123" s="1">
        <v>28830.62</v>
      </c>
      <c r="F123" s="1">
        <v>45747.99</v>
      </c>
      <c r="G123" s="1"/>
      <c r="H123" s="2">
        <v>2788</v>
      </c>
      <c r="I123" s="2">
        <v>1643</v>
      </c>
      <c r="J123" s="2">
        <v>2125</v>
      </c>
      <c r="K123" s="2"/>
      <c r="L123" s="2">
        <v>1</v>
      </c>
      <c r="M123" s="2">
        <v>2</v>
      </c>
      <c r="N123" s="2">
        <v>2</v>
      </c>
      <c r="O123" s="2"/>
      <c r="P123" s="1">
        <v>114606.94</v>
      </c>
      <c r="Q123" s="2">
        <v>6556</v>
      </c>
      <c r="R123" s="2">
        <v>5</v>
      </c>
    </row>
    <row r="124" spans="3:18">
      <c r="C124" t="s">
        <v>77</v>
      </c>
      <c r="D124" s="1"/>
      <c r="E124" s="1"/>
      <c r="F124" s="1">
        <v>16071.42</v>
      </c>
      <c r="G124" s="1"/>
      <c r="H124" s="2"/>
      <c r="I124" s="2"/>
      <c r="J124" s="2">
        <v>7380</v>
      </c>
      <c r="K124" s="2"/>
      <c r="L124" s="2"/>
      <c r="M124" s="2"/>
      <c r="N124" s="2">
        <v>3</v>
      </c>
      <c r="O124" s="2"/>
      <c r="P124" s="1">
        <v>16071.42</v>
      </c>
      <c r="Q124" s="2">
        <v>7380</v>
      </c>
      <c r="R124" s="2">
        <v>3</v>
      </c>
    </row>
    <row r="125" spans="3:18">
      <c r="C125" t="s">
        <v>81</v>
      </c>
      <c r="D125" s="1">
        <v>1432.4</v>
      </c>
      <c r="E125" s="1">
        <v>1449.41</v>
      </c>
      <c r="F125" s="1">
        <v>1060.16</v>
      </c>
      <c r="G125" s="1">
        <v>2942.71</v>
      </c>
      <c r="H125" s="2">
        <v>3693</v>
      </c>
      <c r="I125" s="2">
        <v>958</v>
      </c>
      <c r="J125" s="2">
        <v>8927</v>
      </c>
      <c r="K125" s="2">
        <v>3709</v>
      </c>
      <c r="L125" s="2">
        <v>1</v>
      </c>
      <c r="M125" s="2">
        <v>1</v>
      </c>
      <c r="N125" s="2">
        <v>2</v>
      </c>
      <c r="O125" s="2">
        <v>2</v>
      </c>
      <c r="P125" s="1">
        <v>6884.68</v>
      </c>
      <c r="Q125" s="2">
        <v>17287</v>
      </c>
      <c r="R125" s="2">
        <v>6</v>
      </c>
    </row>
    <row r="126" spans="3:18">
      <c r="C126" t="s">
        <v>25</v>
      </c>
      <c r="D126" s="1"/>
      <c r="E126" s="1"/>
      <c r="F126" s="1">
        <v>5113.5</v>
      </c>
      <c r="G126" s="1">
        <v>955.45</v>
      </c>
      <c r="H126" s="2"/>
      <c r="I126" s="2"/>
      <c r="J126" s="2">
        <v>9098</v>
      </c>
      <c r="K126" s="2">
        <v>4902</v>
      </c>
      <c r="L126" s="2"/>
      <c r="M126" s="2"/>
      <c r="N126" s="2">
        <v>3</v>
      </c>
      <c r="O126" s="2">
        <v>1</v>
      </c>
      <c r="P126" s="1">
        <v>6068.95</v>
      </c>
      <c r="Q126" s="2">
        <v>14000</v>
      </c>
      <c r="R126" s="2">
        <v>4</v>
      </c>
    </row>
    <row r="127" spans="3:18">
      <c r="C127" t="s">
        <v>51</v>
      </c>
      <c r="D127" s="1">
        <v>12063.99</v>
      </c>
      <c r="E127" s="1">
        <v>12030.4</v>
      </c>
      <c r="F127" s="1">
        <v>25167.56</v>
      </c>
      <c r="G127" s="1"/>
      <c r="H127" s="2">
        <v>2735</v>
      </c>
      <c r="I127" s="2">
        <v>1479</v>
      </c>
      <c r="J127" s="2">
        <v>2664</v>
      </c>
      <c r="K127" s="2"/>
      <c r="L127" s="2">
        <v>1</v>
      </c>
      <c r="M127" s="2">
        <v>1</v>
      </c>
      <c r="N127" s="2">
        <v>2</v>
      </c>
      <c r="O127" s="2"/>
      <c r="P127" s="1">
        <v>49261.95</v>
      </c>
      <c r="Q127" s="2">
        <v>6878</v>
      </c>
      <c r="R127" s="2">
        <v>4</v>
      </c>
    </row>
    <row r="128" spans="3:18">
      <c r="C128" t="s">
        <v>46</v>
      </c>
      <c r="D128" s="1"/>
      <c r="E128" s="1">
        <v>11762.32</v>
      </c>
      <c r="F128" s="1">
        <v>6075.41</v>
      </c>
      <c r="G128" s="1"/>
      <c r="H128" s="2"/>
      <c r="I128" s="2">
        <v>4298</v>
      </c>
      <c r="J128" s="2">
        <v>4110</v>
      </c>
      <c r="K128" s="2"/>
      <c r="L128" s="2"/>
      <c r="M128" s="2">
        <v>2</v>
      </c>
      <c r="N128" s="2">
        <v>1</v>
      </c>
      <c r="O128" s="2"/>
      <c r="P128" s="1">
        <v>17837.73</v>
      </c>
      <c r="Q128" s="2">
        <v>8408</v>
      </c>
      <c r="R128" s="2">
        <v>3</v>
      </c>
    </row>
    <row r="129" spans="2:18">
      <c r="B129" t="s">
        <v>569</v>
      </c>
      <c r="D129" s="1">
        <v>94016.52</v>
      </c>
      <c r="E129" s="1">
        <v>74866.68</v>
      </c>
      <c r="F129" s="1">
        <v>164737.72</v>
      </c>
      <c r="G129" s="1">
        <v>12170.64</v>
      </c>
      <c r="H129" s="2">
        <v>16991</v>
      </c>
      <c r="I129" s="2">
        <v>10315</v>
      </c>
      <c r="J129" s="2">
        <v>47392</v>
      </c>
      <c r="K129" s="2">
        <v>11006</v>
      </c>
      <c r="L129" s="2">
        <v>6</v>
      </c>
      <c r="M129" s="2">
        <v>8</v>
      </c>
      <c r="N129" s="2">
        <v>21</v>
      </c>
      <c r="O129" s="2">
        <v>4</v>
      </c>
      <c r="P129" s="1">
        <v>345791.56</v>
      </c>
      <c r="Q129" s="2">
        <v>85704</v>
      </c>
      <c r="R129" s="2">
        <v>39</v>
      </c>
    </row>
    <row r="130" spans="1:18">
      <c r="A130" t="s">
        <v>576</v>
      </c>
      <c r="D130" s="1">
        <v>94016.52</v>
      </c>
      <c r="E130" s="1">
        <v>74866.68</v>
      </c>
      <c r="F130" s="1">
        <v>207393.35</v>
      </c>
      <c r="G130" s="1">
        <v>12170.64</v>
      </c>
      <c r="H130" s="2">
        <v>16991</v>
      </c>
      <c r="I130" s="2">
        <v>10315</v>
      </c>
      <c r="J130" s="2">
        <v>57778</v>
      </c>
      <c r="K130" s="2">
        <v>11006</v>
      </c>
      <c r="L130" s="2">
        <v>6</v>
      </c>
      <c r="M130" s="2">
        <v>8</v>
      </c>
      <c r="N130" s="2">
        <v>27</v>
      </c>
      <c r="O130" s="2">
        <v>4</v>
      </c>
      <c r="P130" s="1">
        <v>388447.19</v>
      </c>
      <c r="Q130" s="2">
        <v>96090</v>
      </c>
      <c r="R130" s="2">
        <v>45</v>
      </c>
    </row>
    <row r="131" spans="1:18">
      <c r="A131" t="s">
        <v>92</v>
      </c>
      <c r="B131" t="s">
        <v>21</v>
      </c>
      <c r="C131" t="s">
        <v>39</v>
      </c>
      <c r="D131" s="1"/>
      <c r="E131" s="1">
        <v>10832.41</v>
      </c>
      <c r="F131" s="1"/>
      <c r="G131" s="1"/>
      <c r="H131" s="2"/>
      <c r="I131" s="2">
        <v>1519</v>
      </c>
      <c r="J131" s="2"/>
      <c r="K131" s="2"/>
      <c r="L131" s="2"/>
      <c r="M131" s="2">
        <v>1</v>
      </c>
      <c r="N131" s="2"/>
      <c r="O131" s="2"/>
      <c r="P131" s="1">
        <v>10832.41</v>
      </c>
      <c r="Q131" s="2">
        <v>1519</v>
      </c>
      <c r="R131" s="2">
        <v>1</v>
      </c>
    </row>
    <row r="132" spans="3:18">
      <c r="C132" t="s">
        <v>18</v>
      </c>
      <c r="D132" s="1"/>
      <c r="E132" s="1"/>
      <c r="F132" s="1"/>
      <c r="G132" s="1">
        <v>3989.6</v>
      </c>
      <c r="H132" s="2"/>
      <c r="I132" s="2"/>
      <c r="J132" s="2"/>
      <c r="K132" s="2">
        <v>758</v>
      </c>
      <c r="L132" s="2"/>
      <c r="M132" s="2"/>
      <c r="N132" s="2"/>
      <c r="O132" s="2">
        <v>1</v>
      </c>
      <c r="P132" s="1">
        <v>3989.6</v>
      </c>
      <c r="Q132" s="2">
        <v>758</v>
      </c>
      <c r="R132" s="2">
        <v>1</v>
      </c>
    </row>
    <row r="133" spans="3:18">
      <c r="C133" t="s">
        <v>100</v>
      </c>
      <c r="D133" s="1"/>
      <c r="E133" s="1">
        <v>4462.66</v>
      </c>
      <c r="F133" s="1"/>
      <c r="G133" s="1"/>
      <c r="H133" s="2"/>
      <c r="I133" s="2">
        <v>88</v>
      </c>
      <c r="J133" s="2"/>
      <c r="K133" s="2"/>
      <c r="L133" s="2"/>
      <c r="M133" s="2">
        <v>1</v>
      </c>
      <c r="N133" s="2"/>
      <c r="O133" s="2"/>
      <c r="P133" s="1">
        <v>4462.66</v>
      </c>
      <c r="Q133" s="2">
        <v>88</v>
      </c>
      <c r="R133" s="2">
        <v>1</v>
      </c>
    </row>
    <row r="134" spans="3:18">
      <c r="C134" t="s">
        <v>51</v>
      </c>
      <c r="D134" s="1"/>
      <c r="E134" s="1"/>
      <c r="F134" s="1">
        <v>978.37</v>
      </c>
      <c r="G134" s="1"/>
      <c r="H134" s="2"/>
      <c r="I134" s="2"/>
      <c r="J134" s="2">
        <v>1916</v>
      </c>
      <c r="K134" s="2"/>
      <c r="L134" s="2"/>
      <c r="M134" s="2"/>
      <c r="N134" s="2">
        <v>1</v>
      </c>
      <c r="O134" s="2"/>
      <c r="P134" s="1">
        <v>978.37</v>
      </c>
      <c r="Q134" s="2">
        <v>1916</v>
      </c>
      <c r="R134" s="2">
        <v>1</v>
      </c>
    </row>
    <row r="135" spans="2:18">
      <c r="B135" t="s">
        <v>568</v>
      </c>
      <c r="D135" s="1"/>
      <c r="E135" s="1">
        <v>15295.07</v>
      </c>
      <c r="F135" s="1">
        <v>978.37</v>
      </c>
      <c r="G135" s="1">
        <v>3989.6</v>
      </c>
      <c r="H135" s="2"/>
      <c r="I135" s="2">
        <v>1607</v>
      </c>
      <c r="J135" s="2">
        <v>1916</v>
      </c>
      <c r="K135" s="2">
        <v>758</v>
      </c>
      <c r="L135" s="2"/>
      <c r="M135" s="2">
        <v>2</v>
      </c>
      <c r="N135" s="2">
        <v>1</v>
      </c>
      <c r="O135" s="2">
        <v>1</v>
      </c>
      <c r="P135" s="1">
        <v>20263.04</v>
      </c>
      <c r="Q135" s="2">
        <v>4281</v>
      </c>
      <c r="R135" s="2">
        <v>4</v>
      </c>
    </row>
    <row r="136" spans="2:18">
      <c r="B136" t="s">
        <v>27</v>
      </c>
      <c r="C136" t="s">
        <v>39</v>
      </c>
      <c r="D136" s="1">
        <v>1759.76</v>
      </c>
      <c r="E136" s="1"/>
      <c r="F136" s="1">
        <v>19218.46</v>
      </c>
      <c r="G136" s="1"/>
      <c r="H136" s="2">
        <v>3878</v>
      </c>
      <c r="I136" s="2"/>
      <c r="J136" s="2">
        <v>10790</v>
      </c>
      <c r="K136" s="2"/>
      <c r="L136" s="2">
        <v>1</v>
      </c>
      <c r="M136" s="2"/>
      <c r="N136" s="2">
        <v>3</v>
      </c>
      <c r="O136" s="2"/>
      <c r="P136" s="1">
        <v>20978.22</v>
      </c>
      <c r="Q136" s="2">
        <v>14668</v>
      </c>
      <c r="R136" s="2">
        <v>4</v>
      </c>
    </row>
    <row r="137" spans="3:18">
      <c r="C137" t="s">
        <v>18</v>
      </c>
      <c r="D137" s="1"/>
      <c r="E137" s="1"/>
      <c r="F137" s="1">
        <v>25582.35</v>
      </c>
      <c r="G137" s="1"/>
      <c r="H137" s="2"/>
      <c r="I137" s="2"/>
      <c r="J137" s="2">
        <v>9285</v>
      </c>
      <c r="K137" s="2"/>
      <c r="L137" s="2"/>
      <c r="M137" s="2"/>
      <c r="N137" s="2">
        <v>5</v>
      </c>
      <c r="O137" s="2"/>
      <c r="P137" s="1">
        <v>25582.35</v>
      </c>
      <c r="Q137" s="2">
        <v>9285</v>
      </c>
      <c r="R137" s="2">
        <v>5</v>
      </c>
    </row>
    <row r="138" spans="3:18">
      <c r="C138" t="s">
        <v>41</v>
      </c>
      <c r="D138" s="1"/>
      <c r="E138" s="1"/>
      <c r="F138" s="1">
        <v>15224.23</v>
      </c>
      <c r="G138" s="1"/>
      <c r="H138" s="2"/>
      <c r="I138" s="2"/>
      <c r="J138" s="2">
        <v>2044</v>
      </c>
      <c r="K138" s="2"/>
      <c r="L138" s="2"/>
      <c r="M138" s="2"/>
      <c r="N138" s="2">
        <v>1</v>
      </c>
      <c r="O138" s="2"/>
      <c r="P138" s="1">
        <v>15224.23</v>
      </c>
      <c r="Q138" s="2">
        <v>2044</v>
      </c>
      <c r="R138" s="2">
        <v>1</v>
      </c>
    </row>
    <row r="139" spans="3:18">
      <c r="C139" t="s">
        <v>100</v>
      </c>
      <c r="D139" s="1">
        <v>4326.36</v>
      </c>
      <c r="E139" s="1"/>
      <c r="F139" s="1">
        <v>10566.15</v>
      </c>
      <c r="G139" s="1">
        <v>5499.75</v>
      </c>
      <c r="H139" s="2">
        <v>3128</v>
      </c>
      <c r="I139" s="2"/>
      <c r="J139" s="2">
        <v>5069</v>
      </c>
      <c r="K139" s="2">
        <v>2172</v>
      </c>
      <c r="L139" s="2">
        <v>1</v>
      </c>
      <c r="M139" s="2"/>
      <c r="N139" s="2">
        <v>3</v>
      </c>
      <c r="O139" s="2">
        <v>1</v>
      </c>
      <c r="P139" s="1">
        <v>20392.26</v>
      </c>
      <c r="Q139" s="2">
        <v>10369</v>
      </c>
      <c r="R139" s="2">
        <v>5</v>
      </c>
    </row>
    <row r="140" spans="3:18">
      <c r="C140" t="s">
        <v>34</v>
      </c>
      <c r="D140" s="1"/>
      <c r="E140" s="1">
        <v>6227.86</v>
      </c>
      <c r="F140" s="1">
        <v>46117.77</v>
      </c>
      <c r="G140" s="1"/>
      <c r="H140" s="2"/>
      <c r="I140" s="2">
        <v>3125</v>
      </c>
      <c r="J140" s="2">
        <v>3754</v>
      </c>
      <c r="K140" s="2"/>
      <c r="L140" s="2"/>
      <c r="M140" s="2">
        <v>1</v>
      </c>
      <c r="N140" s="2">
        <v>1</v>
      </c>
      <c r="O140" s="2"/>
      <c r="P140" s="1">
        <v>52345.63</v>
      </c>
      <c r="Q140" s="2">
        <v>6879</v>
      </c>
      <c r="R140" s="2">
        <v>2</v>
      </c>
    </row>
    <row r="141" spans="3:18">
      <c r="C141" t="s">
        <v>77</v>
      </c>
      <c r="D141" s="1">
        <v>18892.47</v>
      </c>
      <c r="E141" s="1"/>
      <c r="F141" s="1"/>
      <c r="G141" s="1"/>
      <c r="H141" s="2">
        <v>7532</v>
      </c>
      <c r="I141" s="2"/>
      <c r="J141" s="2"/>
      <c r="K141" s="2"/>
      <c r="L141" s="2">
        <v>2</v>
      </c>
      <c r="M141" s="2"/>
      <c r="N141" s="2"/>
      <c r="O141" s="2"/>
      <c r="P141" s="1">
        <v>18892.47</v>
      </c>
      <c r="Q141" s="2">
        <v>7532</v>
      </c>
      <c r="R141" s="2">
        <v>2</v>
      </c>
    </row>
    <row r="142" spans="3:18">
      <c r="C142" t="s">
        <v>81</v>
      </c>
      <c r="D142" s="1"/>
      <c r="E142" s="1">
        <v>1549.34</v>
      </c>
      <c r="F142" s="1">
        <v>5268.34</v>
      </c>
      <c r="G142" s="1"/>
      <c r="H142" s="2"/>
      <c r="I142" s="2">
        <v>2405</v>
      </c>
      <c r="J142" s="2">
        <v>4506</v>
      </c>
      <c r="K142" s="2"/>
      <c r="L142" s="2"/>
      <c r="M142" s="2">
        <v>1</v>
      </c>
      <c r="N142" s="2">
        <v>3</v>
      </c>
      <c r="O142" s="2"/>
      <c r="P142" s="1">
        <v>6817.68</v>
      </c>
      <c r="Q142" s="2">
        <v>6911</v>
      </c>
      <c r="R142" s="2">
        <v>4</v>
      </c>
    </row>
    <row r="143" spans="3:18">
      <c r="C143" t="s">
        <v>46</v>
      </c>
      <c r="D143" s="1"/>
      <c r="E143" s="1"/>
      <c r="F143" s="1">
        <v>7066.34</v>
      </c>
      <c r="G143" s="1">
        <v>4557.12</v>
      </c>
      <c r="H143" s="2"/>
      <c r="I143" s="2"/>
      <c r="J143" s="2">
        <v>851</v>
      </c>
      <c r="K143" s="2">
        <v>892</v>
      </c>
      <c r="L143" s="2"/>
      <c r="M143" s="2"/>
      <c r="N143" s="2">
        <v>2</v>
      </c>
      <c r="O143" s="2">
        <v>1</v>
      </c>
      <c r="P143" s="1">
        <v>11623.46</v>
      </c>
      <c r="Q143" s="2">
        <v>1743</v>
      </c>
      <c r="R143" s="2">
        <v>3</v>
      </c>
    </row>
    <row r="144" spans="2:18">
      <c r="B144" t="s">
        <v>569</v>
      </c>
      <c r="D144" s="1">
        <v>24978.59</v>
      </c>
      <c r="E144" s="1">
        <v>7777.2</v>
      </c>
      <c r="F144" s="1">
        <v>129043.64</v>
      </c>
      <c r="G144" s="1">
        <v>10056.87</v>
      </c>
      <c r="H144" s="2">
        <v>14538</v>
      </c>
      <c r="I144" s="2">
        <v>5530</v>
      </c>
      <c r="J144" s="2">
        <v>36299</v>
      </c>
      <c r="K144" s="2">
        <v>3064</v>
      </c>
      <c r="L144" s="2">
        <v>4</v>
      </c>
      <c r="M144" s="2">
        <v>2</v>
      </c>
      <c r="N144" s="2">
        <v>18</v>
      </c>
      <c r="O144" s="2">
        <v>2</v>
      </c>
      <c r="P144" s="1">
        <v>171856.3</v>
      </c>
      <c r="Q144" s="2">
        <v>59431</v>
      </c>
      <c r="R144" s="2">
        <v>26</v>
      </c>
    </row>
    <row r="145" spans="1:18">
      <c r="A145" t="s">
        <v>577</v>
      </c>
      <c r="D145" s="1">
        <v>24978.59</v>
      </c>
      <c r="E145" s="1">
        <v>23072.27</v>
      </c>
      <c r="F145" s="1">
        <v>130022.01</v>
      </c>
      <c r="G145" s="1">
        <v>14046.47</v>
      </c>
      <c r="H145" s="2">
        <v>14538</v>
      </c>
      <c r="I145" s="2">
        <v>7137</v>
      </c>
      <c r="J145" s="2">
        <v>38215</v>
      </c>
      <c r="K145" s="2">
        <v>3822</v>
      </c>
      <c r="L145" s="2">
        <v>4</v>
      </c>
      <c r="M145" s="2">
        <v>4</v>
      </c>
      <c r="N145" s="2">
        <v>19</v>
      </c>
      <c r="O145" s="2">
        <v>3</v>
      </c>
      <c r="P145" s="1">
        <v>192119.34</v>
      </c>
      <c r="Q145" s="2">
        <v>63712</v>
      </c>
      <c r="R145" s="2">
        <v>30</v>
      </c>
    </row>
    <row r="146" spans="1:18">
      <c r="A146" t="s">
        <v>79</v>
      </c>
      <c r="B146" t="s">
        <v>21</v>
      </c>
      <c r="C146" t="s">
        <v>39</v>
      </c>
      <c r="D146" s="1"/>
      <c r="E146" s="1">
        <v>18910.12</v>
      </c>
      <c r="F146" s="1"/>
      <c r="G146" s="1"/>
      <c r="H146" s="2"/>
      <c r="I146" s="2">
        <v>4035</v>
      </c>
      <c r="J146" s="2"/>
      <c r="K146" s="2"/>
      <c r="L146" s="2"/>
      <c r="M146" s="2">
        <v>1</v>
      </c>
      <c r="N146" s="2"/>
      <c r="O146" s="2"/>
      <c r="P146" s="1">
        <v>18910.12</v>
      </c>
      <c r="Q146" s="2">
        <v>4035</v>
      </c>
      <c r="R146" s="2">
        <v>1</v>
      </c>
    </row>
    <row r="147" spans="3:18">
      <c r="C147" t="s">
        <v>81</v>
      </c>
      <c r="D147" s="1"/>
      <c r="E147" s="1"/>
      <c r="F147" s="1"/>
      <c r="G147" s="1">
        <v>1632.78</v>
      </c>
      <c r="H147" s="2"/>
      <c r="I147" s="2"/>
      <c r="J147" s="2"/>
      <c r="K147" s="2">
        <v>1534</v>
      </c>
      <c r="L147" s="2"/>
      <c r="M147" s="2"/>
      <c r="N147" s="2"/>
      <c r="O147" s="2">
        <v>1</v>
      </c>
      <c r="P147" s="1">
        <v>1632.78</v>
      </c>
      <c r="Q147" s="2">
        <v>1534</v>
      </c>
      <c r="R147" s="2">
        <v>1</v>
      </c>
    </row>
    <row r="148" spans="3:18">
      <c r="C148" t="s">
        <v>25</v>
      </c>
      <c r="D148" s="1"/>
      <c r="E148" s="1">
        <v>2444.48</v>
      </c>
      <c r="F148" s="1"/>
      <c r="G148" s="1"/>
      <c r="H148" s="2"/>
      <c r="I148" s="2">
        <v>4773</v>
      </c>
      <c r="J148" s="2"/>
      <c r="K148" s="2"/>
      <c r="L148" s="2"/>
      <c r="M148" s="2">
        <v>1</v>
      </c>
      <c r="N148" s="2"/>
      <c r="O148" s="2"/>
      <c r="P148" s="1">
        <v>2444.48</v>
      </c>
      <c r="Q148" s="2">
        <v>4773</v>
      </c>
      <c r="R148" s="2">
        <v>1</v>
      </c>
    </row>
    <row r="149" spans="3:18">
      <c r="C149" t="s">
        <v>46</v>
      </c>
      <c r="D149" s="1"/>
      <c r="E149" s="1"/>
      <c r="F149" s="1">
        <v>5563.27</v>
      </c>
      <c r="G149" s="1"/>
      <c r="H149" s="2"/>
      <c r="I149" s="2"/>
      <c r="J149" s="2">
        <v>1432</v>
      </c>
      <c r="K149" s="2"/>
      <c r="L149" s="2"/>
      <c r="M149" s="2"/>
      <c r="N149" s="2">
        <v>1</v>
      </c>
      <c r="O149" s="2"/>
      <c r="P149" s="1">
        <v>5563.27</v>
      </c>
      <c r="Q149" s="2">
        <v>1432</v>
      </c>
      <c r="R149" s="2">
        <v>1</v>
      </c>
    </row>
    <row r="150" spans="2:18">
      <c r="B150" t="s">
        <v>568</v>
      </c>
      <c r="D150" s="1"/>
      <c r="E150" s="1">
        <v>21354.6</v>
      </c>
      <c r="F150" s="1">
        <v>5563.27</v>
      </c>
      <c r="G150" s="1">
        <v>1632.78</v>
      </c>
      <c r="H150" s="2"/>
      <c r="I150" s="2">
        <v>8808</v>
      </c>
      <c r="J150" s="2">
        <v>1432</v>
      </c>
      <c r="K150" s="2">
        <v>1534</v>
      </c>
      <c r="L150" s="2"/>
      <c r="M150" s="2">
        <v>2</v>
      </c>
      <c r="N150" s="2">
        <v>1</v>
      </c>
      <c r="O150" s="2">
        <v>1</v>
      </c>
      <c r="P150" s="1">
        <v>28550.65</v>
      </c>
      <c r="Q150" s="2">
        <v>11774</v>
      </c>
      <c r="R150" s="2">
        <v>4</v>
      </c>
    </row>
    <row r="151" spans="2:18">
      <c r="B151" t="s">
        <v>27</v>
      </c>
      <c r="C151" t="s">
        <v>39</v>
      </c>
      <c r="D151" s="1">
        <v>20081.5</v>
      </c>
      <c r="E151" s="1"/>
      <c r="F151" s="1">
        <v>14759.69</v>
      </c>
      <c r="G151" s="1"/>
      <c r="H151" s="2">
        <v>8678</v>
      </c>
      <c r="I151" s="2"/>
      <c r="J151" s="2">
        <v>227</v>
      </c>
      <c r="K151" s="2"/>
      <c r="L151" s="2">
        <v>3</v>
      </c>
      <c r="M151" s="2"/>
      <c r="N151" s="2">
        <v>1</v>
      </c>
      <c r="O151" s="2"/>
      <c r="P151" s="1">
        <v>34841.19</v>
      </c>
      <c r="Q151" s="2">
        <v>8905</v>
      </c>
      <c r="R151" s="2">
        <v>4</v>
      </c>
    </row>
    <row r="152" spans="3:18">
      <c r="C152" t="s">
        <v>18</v>
      </c>
      <c r="D152" s="1"/>
      <c r="E152" s="1">
        <v>2232.45</v>
      </c>
      <c r="F152" s="1">
        <v>11756.42</v>
      </c>
      <c r="G152" s="1"/>
      <c r="H152" s="2"/>
      <c r="I152" s="2">
        <v>3426</v>
      </c>
      <c r="J152" s="2">
        <v>7514</v>
      </c>
      <c r="K152" s="2"/>
      <c r="L152" s="2"/>
      <c r="M152" s="2">
        <v>1</v>
      </c>
      <c r="N152" s="2">
        <v>2</v>
      </c>
      <c r="O152" s="2"/>
      <c r="P152" s="1">
        <v>13988.87</v>
      </c>
      <c r="Q152" s="2">
        <v>10940</v>
      </c>
      <c r="R152" s="2">
        <v>3</v>
      </c>
    </row>
    <row r="153" spans="3:18">
      <c r="C153" t="s">
        <v>41</v>
      </c>
      <c r="D153" s="1">
        <v>10553.1</v>
      </c>
      <c r="E153" s="1"/>
      <c r="F153" s="1">
        <v>24890.8</v>
      </c>
      <c r="G153" s="1"/>
      <c r="H153" s="2">
        <v>4771</v>
      </c>
      <c r="I153" s="2"/>
      <c r="J153" s="2">
        <v>2116</v>
      </c>
      <c r="K153" s="2"/>
      <c r="L153" s="2">
        <v>1</v>
      </c>
      <c r="M153" s="2"/>
      <c r="N153" s="2">
        <v>2</v>
      </c>
      <c r="O153" s="2"/>
      <c r="P153" s="1">
        <v>35443.9</v>
      </c>
      <c r="Q153" s="2">
        <v>6887</v>
      </c>
      <c r="R153" s="2">
        <v>3</v>
      </c>
    </row>
    <row r="154" spans="3:18">
      <c r="C154" t="s">
        <v>100</v>
      </c>
      <c r="D154" s="1">
        <v>3186.37</v>
      </c>
      <c r="E154" s="1"/>
      <c r="F154" s="1">
        <v>5618.69</v>
      </c>
      <c r="G154" s="1">
        <v>4767.81</v>
      </c>
      <c r="H154" s="2">
        <v>4819</v>
      </c>
      <c r="I154" s="2"/>
      <c r="J154" s="2">
        <v>769</v>
      </c>
      <c r="K154" s="2">
        <v>1165</v>
      </c>
      <c r="L154" s="2">
        <v>1</v>
      </c>
      <c r="M154" s="2"/>
      <c r="N154" s="2">
        <v>1</v>
      </c>
      <c r="O154" s="2">
        <v>1</v>
      </c>
      <c r="P154" s="1">
        <v>13572.87</v>
      </c>
      <c r="Q154" s="2">
        <v>6753</v>
      </c>
      <c r="R154" s="2">
        <v>3</v>
      </c>
    </row>
    <row r="155" spans="3:18">
      <c r="C155" t="s">
        <v>34</v>
      </c>
      <c r="D155" s="1"/>
      <c r="E155" s="1">
        <v>52464.92</v>
      </c>
      <c r="F155" s="1">
        <v>47107.75</v>
      </c>
      <c r="G155" s="1"/>
      <c r="H155" s="2"/>
      <c r="I155" s="2">
        <v>7154</v>
      </c>
      <c r="J155" s="2">
        <v>2917</v>
      </c>
      <c r="K155" s="2"/>
      <c r="L155" s="2"/>
      <c r="M155" s="2">
        <v>2</v>
      </c>
      <c r="N155" s="2">
        <v>1</v>
      </c>
      <c r="O155" s="2"/>
      <c r="P155" s="1">
        <v>99572.67</v>
      </c>
      <c r="Q155" s="2">
        <v>10071</v>
      </c>
      <c r="R155" s="2">
        <v>3</v>
      </c>
    </row>
    <row r="156" spans="3:18">
      <c r="C156" t="s">
        <v>77</v>
      </c>
      <c r="D156" s="1"/>
      <c r="E156" s="1">
        <v>13320.15</v>
      </c>
      <c r="F156" s="1">
        <v>29423.28</v>
      </c>
      <c r="G156" s="1"/>
      <c r="H156" s="2"/>
      <c r="I156" s="2">
        <v>3633</v>
      </c>
      <c r="J156" s="2">
        <v>11279</v>
      </c>
      <c r="K156" s="2"/>
      <c r="L156" s="2"/>
      <c r="M156" s="2">
        <v>1</v>
      </c>
      <c r="N156" s="2">
        <v>3</v>
      </c>
      <c r="O156" s="2"/>
      <c r="P156" s="1">
        <v>42743.43</v>
      </c>
      <c r="Q156" s="2">
        <v>14912</v>
      </c>
      <c r="R156" s="2">
        <v>4</v>
      </c>
    </row>
    <row r="157" spans="3:18">
      <c r="C157" t="s">
        <v>81</v>
      </c>
      <c r="D157" s="1">
        <v>457.51</v>
      </c>
      <c r="E157" s="1"/>
      <c r="F157" s="1"/>
      <c r="G157" s="1">
        <v>2861.58</v>
      </c>
      <c r="H157" s="2">
        <v>4691</v>
      </c>
      <c r="I157" s="2"/>
      <c r="J157" s="2"/>
      <c r="K157" s="2">
        <v>5006</v>
      </c>
      <c r="L157" s="2">
        <v>1</v>
      </c>
      <c r="M157" s="2"/>
      <c r="N157" s="2"/>
      <c r="O157" s="2">
        <v>2</v>
      </c>
      <c r="P157" s="1">
        <v>3319.09</v>
      </c>
      <c r="Q157" s="2">
        <v>9697</v>
      </c>
      <c r="R157" s="2">
        <v>3</v>
      </c>
    </row>
    <row r="158" spans="3:18">
      <c r="C158" t="s">
        <v>25</v>
      </c>
      <c r="D158" s="1">
        <v>3300.46</v>
      </c>
      <c r="E158" s="1">
        <v>149.59</v>
      </c>
      <c r="F158" s="1">
        <v>6389.45</v>
      </c>
      <c r="G158" s="1"/>
      <c r="H158" s="2">
        <v>3396</v>
      </c>
      <c r="I158" s="2">
        <v>1784</v>
      </c>
      <c r="J158" s="2">
        <v>2777</v>
      </c>
      <c r="K158" s="2"/>
      <c r="L158" s="2">
        <v>1</v>
      </c>
      <c r="M158" s="2">
        <v>1</v>
      </c>
      <c r="N158" s="2">
        <v>2</v>
      </c>
      <c r="O158" s="2"/>
      <c r="P158" s="1">
        <v>9839.5</v>
      </c>
      <c r="Q158" s="2">
        <v>7957</v>
      </c>
      <c r="R158" s="2">
        <v>4</v>
      </c>
    </row>
    <row r="159" spans="3:18">
      <c r="C159" t="s">
        <v>51</v>
      </c>
      <c r="D159" s="1"/>
      <c r="E159" s="1">
        <v>9474.86</v>
      </c>
      <c r="F159" s="1">
        <v>18873.91</v>
      </c>
      <c r="G159" s="1"/>
      <c r="H159" s="2"/>
      <c r="I159" s="2">
        <v>2678</v>
      </c>
      <c r="J159" s="2">
        <v>11511</v>
      </c>
      <c r="K159" s="2"/>
      <c r="L159" s="2"/>
      <c r="M159" s="2">
        <v>1</v>
      </c>
      <c r="N159" s="2">
        <v>4</v>
      </c>
      <c r="O159" s="2"/>
      <c r="P159" s="1">
        <v>28348.77</v>
      </c>
      <c r="Q159" s="2">
        <v>14189</v>
      </c>
      <c r="R159" s="2">
        <v>5</v>
      </c>
    </row>
    <row r="160" spans="3:18">
      <c r="C160" t="s">
        <v>46</v>
      </c>
      <c r="D160" s="1">
        <v>7062.56</v>
      </c>
      <c r="E160" s="1"/>
      <c r="F160" s="1">
        <v>7029.99</v>
      </c>
      <c r="G160" s="1"/>
      <c r="H160" s="2">
        <v>2517</v>
      </c>
      <c r="I160" s="2"/>
      <c r="J160" s="2">
        <v>1149</v>
      </c>
      <c r="K160" s="2"/>
      <c r="L160" s="2">
        <v>1</v>
      </c>
      <c r="M160" s="2"/>
      <c r="N160" s="2">
        <v>2</v>
      </c>
      <c r="O160" s="2"/>
      <c r="P160" s="1">
        <v>14092.55</v>
      </c>
      <c r="Q160" s="2">
        <v>3666</v>
      </c>
      <c r="R160" s="2">
        <v>3</v>
      </c>
    </row>
    <row r="161" spans="2:18">
      <c r="B161" t="s">
        <v>569</v>
      </c>
      <c r="D161" s="1">
        <v>44641.5</v>
      </c>
      <c r="E161" s="1">
        <v>77641.97</v>
      </c>
      <c r="F161" s="1">
        <v>165849.98</v>
      </c>
      <c r="G161" s="1">
        <v>7629.39</v>
      </c>
      <c r="H161" s="2">
        <v>28872</v>
      </c>
      <c r="I161" s="2">
        <v>18675</v>
      </c>
      <c r="J161" s="2">
        <v>40259</v>
      </c>
      <c r="K161" s="2">
        <v>6171</v>
      </c>
      <c r="L161" s="2">
        <v>8</v>
      </c>
      <c r="M161" s="2">
        <v>6</v>
      </c>
      <c r="N161" s="2">
        <v>18</v>
      </c>
      <c r="O161" s="2">
        <v>3</v>
      </c>
      <c r="P161" s="1">
        <v>295762.84</v>
      </c>
      <c r="Q161" s="2">
        <v>93977</v>
      </c>
      <c r="R161" s="2">
        <v>35</v>
      </c>
    </row>
    <row r="162" spans="1:18">
      <c r="A162" t="s">
        <v>578</v>
      </c>
      <c r="D162" s="1">
        <v>44641.5</v>
      </c>
      <c r="E162" s="1">
        <v>98996.57</v>
      </c>
      <c r="F162" s="1">
        <v>171413.25</v>
      </c>
      <c r="G162" s="1">
        <v>9262.17</v>
      </c>
      <c r="H162" s="2">
        <v>28872</v>
      </c>
      <c r="I162" s="2">
        <v>27483</v>
      </c>
      <c r="J162" s="2">
        <v>41691</v>
      </c>
      <c r="K162" s="2">
        <v>7705</v>
      </c>
      <c r="L162" s="2">
        <v>8</v>
      </c>
      <c r="M162" s="2">
        <v>8</v>
      </c>
      <c r="N162" s="2">
        <v>19</v>
      </c>
      <c r="O162" s="2">
        <v>4</v>
      </c>
      <c r="P162" s="1">
        <v>324313.49</v>
      </c>
      <c r="Q162" s="2">
        <v>105751</v>
      </c>
      <c r="R162" s="2">
        <v>39</v>
      </c>
    </row>
    <row r="163" spans="1:18">
      <c r="A163" t="s">
        <v>87</v>
      </c>
      <c r="B163" t="s">
        <v>21</v>
      </c>
      <c r="C163" t="s">
        <v>41</v>
      </c>
      <c r="D163" s="1"/>
      <c r="E163" s="1"/>
      <c r="F163" s="1">
        <v>22627.48</v>
      </c>
      <c r="G163" s="1">
        <v>5208.94</v>
      </c>
      <c r="H163" s="2"/>
      <c r="I163" s="2"/>
      <c r="J163" s="2">
        <v>2132</v>
      </c>
      <c r="K163" s="2">
        <v>2067</v>
      </c>
      <c r="L163" s="2"/>
      <c r="M163" s="2"/>
      <c r="N163" s="2">
        <v>1</v>
      </c>
      <c r="O163" s="2">
        <v>1</v>
      </c>
      <c r="P163" s="1">
        <v>27836.42</v>
      </c>
      <c r="Q163" s="2">
        <v>4199</v>
      </c>
      <c r="R163" s="2">
        <v>2</v>
      </c>
    </row>
    <row r="164" spans="3:18">
      <c r="C164" t="s">
        <v>100</v>
      </c>
      <c r="D164" s="1"/>
      <c r="E164" s="1"/>
      <c r="F164" s="1">
        <v>4263.02</v>
      </c>
      <c r="G164" s="1"/>
      <c r="H164" s="2"/>
      <c r="I164" s="2"/>
      <c r="J164" s="2">
        <v>434</v>
      </c>
      <c r="K164" s="2"/>
      <c r="L164" s="2"/>
      <c r="M164" s="2"/>
      <c r="N164" s="2">
        <v>1</v>
      </c>
      <c r="O164" s="2"/>
      <c r="P164" s="1">
        <v>4263.02</v>
      </c>
      <c r="Q164" s="2">
        <v>434</v>
      </c>
      <c r="R164" s="2">
        <v>1</v>
      </c>
    </row>
    <row r="165" spans="3:18">
      <c r="C165" t="s">
        <v>77</v>
      </c>
      <c r="D165" s="1"/>
      <c r="E165" s="1"/>
      <c r="F165" s="1"/>
      <c r="G165" s="1">
        <v>4317.83</v>
      </c>
      <c r="H165" s="2"/>
      <c r="I165" s="2"/>
      <c r="J165" s="2"/>
      <c r="K165" s="2">
        <v>645</v>
      </c>
      <c r="L165" s="2"/>
      <c r="M165" s="2"/>
      <c r="N165" s="2"/>
      <c r="O165" s="2">
        <v>1</v>
      </c>
      <c r="P165" s="1">
        <v>4317.83</v>
      </c>
      <c r="Q165" s="2">
        <v>645</v>
      </c>
      <c r="R165" s="2">
        <v>1</v>
      </c>
    </row>
    <row r="166" spans="3:18">
      <c r="C166" t="s">
        <v>51</v>
      </c>
      <c r="D166" s="1"/>
      <c r="E166" s="1"/>
      <c r="F166" s="1"/>
      <c r="G166" s="1">
        <v>9813.28</v>
      </c>
      <c r="H166" s="2"/>
      <c r="I166" s="2"/>
      <c r="J166" s="2"/>
      <c r="K166" s="2">
        <v>206</v>
      </c>
      <c r="L166" s="2"/>
      <c r="M166" s="2"/>
      <c r="N166" s="2"/>
      <c r="O166" s="2">
        <v>1</v>
      </c>
      <c r="P166" s="1">
        <v>9813.28</v>
      </c>
      <c r="Q166" s="2">
        <v>206</v>
      </c>
      <c r="R166" s="2">
        <v>1</v>
      </c>
    </row>
    <row r="167" spans="2:18">
      <c r="B167" t="s">
        <v>568</v>
      </c>
      <c r="D167" s="1"/>
      <c r="E167" s="1"/>
      <c r="F167" s="1">
        <v>26890.5</v>
      </c>
      <c r="G167" s="1">
        <v>19340.05</v>
      </c>
      <c r="H167" s="2"/>
      <c r="I167" s="2"/>
      <c r="J167" s="2">
        <v>2566</v>
      </c>
      <c r="K167" s="2">
        <v>2918</v>
      </c>
      <c r="L167" s="2"/>
      <c r="M167" s="2"/>
      <c r="N167" s="2">
        <v>2</v>
      </c>
      <c r="O167" s="2">
        <v>3</v>
      </c>
      <c r="P167" s="1">
        <v>46230.55</v>
      </c>
      <c r="Q167" s="2">
        <v>5484</v>
      </c>
      <c r="R167" s="2">
        <v>5</v>
      </c>
    </row>
    <row r="168" spans="2:18">
      <c r="B168" t="s">
        <v>27</v>
      </c>
      <c r="C168" t="s">
        <v>39</v>
      </c>
      <c r="D168" s="1"/>
      <c r="E168" s="1"/>
      <c r="F168" s="1">
        <v>4747.26</v>
      </c>
      <c r="G168" s="1"/>
      <c r="H168" s="2"/>
      <c r="I168" s="2"/>
      <c r="J168" s="2">
        <v>1397</v>
      </c>
      <c r="K168" s="2"/>
      <c r="L168" s="2"/>
      <c r="M168" s="2"/>
      <c r="N168" s="2">
        <v>1</v>
      </c>
      <c r="O168" s="2"/>
      <c r="P168" s="1">
        <v>4747.26</v>
      </c>
      <c r="Q168" s="2">
        <v>1397</v>
      </c>
      <c r="R168" s="2">
        <v>1</v>
      </c>
    </row>
    <row r="169" spans="3:18">
      <c r="C169" t="s">
        <v>18</v>
      </c>
      <c r="D169" s="1">
        <v>1124.88</v>
      </c>
      <c r="E169" s="1"/>
      <c r="F169" s="1">
        <v>10713.42</v>
      </c>
      <c r="G169" s="1"/>
      <c r="H169" s="2">
        <v>2163</v>
      </c>
      <c r="I169" s="2"/>
      <c r="J169" s="2">
        <v>5478</v>
      </c>
      <c r="K169" s="2"/>
      <c r="L169" s="2">
        <v>1</v>
      </c>
      <c r="M169" s="2"/>
      <c r="N169" s="2">
        <v>2</v>
      </c>
      <c r="O169" s="2"/>
      <c r="P169" s="1">
        <v>11838.3</v>
      </c>
      <c r="Q169" s="2">
        <v>7641</v>
      </c>
      <c r="R169" s="2">
        <v>3</v>
      </c>
    </row>
    <row r="170" spans="3:18">
      <c r="C170" t="s">
        <v>41</v>
      </c>
      <c r="D170" s="1">
        <v>20623.79</v>
      </c>
      <c r="E170" s="1"/>
      <c r="F170" s="1">
        <v>13772.76</v>
      </c>
      <c r="G170" s="1"/>
      <c r="H170" s="2">
        <v>2872</v>
      </c>
      <c r="I170" s="2"/>
      <c r="J170" s="2">
        <v>1027</v>
      </c>
      <c r="K170" s="2"/>
      <c r="L170" s="2">
        <v>1</v>
      </c>
      <c r="M170" s="2"/>
      <c r="N170" s="2">
        <v>1</v>
      </c>
      <c r="O170" s="2"/>
      <c r="P170" s="1">
        <v>34396.55</v>
      </c>
      <c r="Q170" s="2">
        <v>3899</v>
      </c>
      <c r="R170" s="2">
        <v>2</v>
      </c>
    </row>
    <row r="171" spans="3:18">
      <c r="C171" t="s">
        <v>100</v>
      </c>
      <c r="D171" s="1">
        <v>1811.48</v>
      </c>
      <c r="E171" s="1">
        <v>8498.69</v>
      </c>
      <c r="F171" s="1"/>
      <c r="G171" s="1"/>
      <c r="H171" s="2">
        <v>1976</v>
      </c>
      <c r="I171" s="2">
        <v>5006</v>
      </c>
      <c r="J171" s="2"/>
      <c r="K171" s="2"/>
      <c r="L171" s="2">
        <v>1</v>
      </c>
      <c r="M171" s="2">
        <v>2</v>
      </c>
      <c r="N171" s="2"/>
      <c r="O171" s="2"/>
      <c r="P171" s="1">
        <v>10310.17</v>
      </c>
      <c r="Q171" s="2">
        <v>6982</v>
      </c>
      <c r="R171" s="2">
        <v>3</v>
      </c>
    </row>
    <row r="172" spans="3:18">
      <c r="C172" t="s">
        <v>34</v>
      </c>
      <c r="D172" s="1"/>
      <c r="E172" s="1"/>
      <c r="F172" s="1">
        <v>26885.97</v>
      </c>
      <c r="G172" s="1"/>
      <c r="H172" s="2"/>
      <c r="I172" s="2"/>
      <c r="J172" s="2">
        <v>1793</v>
      </c>
      <c r="K172" s="2"/>
      <c r="L172" s="2"/>
      <c r="M172" s="2"/>
      <c r="N172" s="2">
        <v>1</v>
      </c>
      <c r="O172" s="2"/>
      <c r="P172" s="1">
        <v>26885.97</v>
      </c>
      <c r="Q172" s="2">
        <v>1793</v>
      </c>
      <c r="R172" s="2">
        <v>1</v>
      </c>
    </row>
    <row r="173" spans="3:18">
      <c r="C173" t="s">
        <v>77</v>
      </c>
      <c r="D173" s="1"/>
      <c r="E173" s="1"/>
      <c r="F173" s="1">
        <v>12418.14</v>
      </c>
      <c r="G173" s="1">
        <v>6833.15</v>
      </c>
      <c r="H173" s="2"/>
      <c r="I173" s="2"/>
      <c r="J173" s="2">
        <v>2842</v>
      </c>
      <c r="K173" s="2">
        <v>4501</v>
      </c>
      <c r="L173" s="2"/>
      <c r="M173" s="2"/>
      <c r="N173" s="2">
        <v>2</v>
      </c>
      <c r="O173" s="2">
        <v>1</v>
      </c>
      <c r="P173" s="1">
        <v>19251.29</v>
      </c>
      <c r="Q173" s="2">
        <v>7343</v>
      </c>
      <c r="R173" s="2">
        <v>3</v>
      </c>
    </row>
    <row r="174" spans="3:18">
      <c r="C174" t="s">
        <v>81</v>
      </c>
      <c r="D174" s="1"/>
      <c r="E174" s="1"/>
      <c r="F174" s="1">
        <v>5403.51</v>
      </c>
      <c r="G174" s="1"/>
      <c r="H174" s="2"/>
      <c r="I174" s="2"/>
      <c r="J174" s="2">
        <v>9209</v>
      </c>
      <c r="K174" s="2"/>
      <c r="L174" s="2"/>
      <c r="M174" s="2"/>
      <c r="N174" s="2">
        <v>3</v>
      </c>
      <c r="O174" s="2"/>
      <c r="P174" s="1">
        <v>5403.51</v>
      </c>
      <c r="Q174" s="2">
        <v>9209</v>
      </c>
      <c r="R174" s="2">
        <v>3</v>
      </c>
    </row>
    <row r="175" spans="3:18">
      <c r="C175" t="s">
        <v>25</v>
      </c>
      <c r="D175" s="1"/>
      <c r="E175" s="1"/>
      <c r="F175" s="1">
        <v>645.99</v>
      </c>
      <c r="G175" s="1"/>
      <c r="H175" s="2"/>
      <c r="I175" s="2"/>
      <c r="J175" s="2">
        <v>3419</v>
      </c>
      <c r="K175" s="2"/>
      <c r="L175" s="2"/>
      <c r="M175" s="2"/>
      <c r="N175" s="2">
        <v>1</v>
      </c>
      <c r="O175" s="2"/>
      <c r="P175" s="1">
        <v>645.99</v>
      </c>
      <c r="Q175" s="2">
        <v>3419</v>
      </c>
      <c r="R175" s="2">
        <v>1</v>
      </c>
    </row>
    <row r="176" spans="3:18">
      <c r="C176" t="s">
        <v>51</v>
      </c>
      <c r="D176" s="1"/>
      <c r="E176" s="1"/>
      <c r="F176" s="1">
        <v>11180.7</v>
      </c>
      <c r="G176" s="1"/>
      <c r="H176" s="2"/>
      <c r="I176" s="2"/>
      <c r="J176" s="2">
        <v>4163</v>
      </c>
      <c r="K176" s="2"/>
      <c r="L176" s="2"/>
      <c r="M176" s="2"/>
      <c r="N176" s="2">
        <v>1</v>
      </c>
      <c r="O176" s="2"/>
      <c r="P176" s="1">
        <v>11180.7</v>
      </c>
      <c r="Q176" s="2">
        <v>4163</v>
      </c>
      <c r="R176" s="2">
        <v>1</v>
      </c>
    </row>
    <row r="177" spans="3:18">
      <c r="C177" t="s">
        <v>46</v>
      </c>
      <c r="D177" s="1"/>
      <c r="E177" s="1"/>
      <c r="F177" s="1"/>
      <c r="G177" s="1">
        <v>2113.81</v>
      </c>
      <c r="H177" s="2"/>
      <c r="I177" s="2"/>
      <c r="J177" s="2"/>
      <c r="K177" s="2">
        <v>2969</v>
      </c>
      <c r="L177" s="2"/>
      <c r="M177" s="2"/>
      <c r="N177" s="2"/>
      <c r="O177" s="2">
        <v>1</v>
      </c>
      <c r="P177" s="1">
        <v>2113.81</v>
      </c>
      <c r="Q177" s="2">
        <v>2969</v>
      </c>
      <c r="R177" s="2">
        <v>1</v>
      </c>
    </row>
    <row r="178" spans="2:18">
      <c r="B178" t="s">
        <v>569</v>
      </c>
      <c r="D178" s="1">
        <v>23560.15</v>
      </c>
      <c r="E178" s="1">
        <v>8498.69</v>
      </c>
      <c r="F178" s="1">
        <v>85767.75</v>
      </c>
      <c r="G178" s="1">
        <v>8946.96</v>
      </c>
      <c r="H178" s="2">
        <v>7011</v>
      </c>
      <c r="I178" s="2">
        <v>5006</v>
      </c>
      <c r="J178" s="2">
        <v>29328</v>
      </c>
      <c r="K178" s="2">
        <v>7470</v>
      </c>
      <c r="L178" s="2">
        <v>3</v>
      </c>
      <c r="M178" s="2">
        <v>2</v>
      </c>
      <c r="N178" s="2">
        <v>12</v>
      </c>
      <c r="O178" s="2">
        <v>2</v>
      </c>
      <c r="P178" s="1">
        <v>126773.55</v>
      </c>
      <c r="Q178" s="2">
        <v>48815</v>
      </c>
      <c r="R178" s="2">
        <v>19</v>
      </c>
    </row>
    <row r="179" spans="1:18">
      <c r="A179" t="s">
        <v>579</v>
      </c>
      <c r="D179" s="1">
        <v>23560.15</v>
      </c>
      <c r="E179" s="1">
        <v>8498.69</v>
      </c>
      <c r="F179" s="1">
        <v>112658.25</v>
      </c>
      <c r="G179" s="1">
        <v>28287.01</v>
      </c>
      <c r="H179" s="2">
        <v>7011</v>
      </c>
      <c r="I179" s="2">
        <v>5006</v>
      </c>
      <c r="J179" s="2">
        <v>31894</v>
      </c>
      <c r="K179" s="2">
        <v>10388</v>
      </c>
      <c r="L179" s="2">
        <v>3</v>
      </c>
      <c r="M179" s="2">
        <v>2</v>
      </c>
      <c r="N179" s="2">
        <v>14</v>
      </c>
      <c r="O179" s="2">
        <v>5</v>
      </c>
      <c r="P179" s="1">
        <v>173004.1</v>
      </c>
      <c r="Q179" s="2">
        <v>54299</v>
      </c>
      <c r="R179" s="2">
        <v>24</v>
      </c>
    </row>
    <row r="180" spans="1:18">
      <c r="A180" t="s">
        <v>68</v>
      </c>
      <c r="B180" t="s">
        <v>21</v>
      </c>
      <c r="C180" t="s">
        <v>18</v>
      </c>
      <c r="D180" s="1"/>
      <c r="E180" s="1"/>
      <c r="F180" s="1">
        <v>2818.09</v>
      </c>
      <c r="G180" s="1"/>
      <c r="H180" s="2"/>
      <c r="I180" s="2"/>
      <c r="J180" s="2">
        <v>3376</v>
      </c>
      <c r="K180" s="2"/>
      <c r="L180" s="2"/>
      <c r="M180" s="2"/>
      <c r="N180" s="2">
        <v>1</v>
      </c>
      <c r="O180" s="2"/>
      <c r="P180" s="1">
        <v>2818.09</v>
      </c>
      <c r="Q180" s="2">
        <v>3376</v>
      </c>
      <c r="R180" s="2">
        <v>1</v>
      </c>
    </row>
    <row r="181" spans="3:18">
      <c r="C181" t="s">
        <v>34</v>
      </c>
      <c r="D181" s="1"/>
      <c r="E181" s="1">
        <v>49827.94</v>
      </c>
      <c r="F181" s="1"/>
      <c r="G181" s="1"/>
      <c r="H181" s="2"/>
      <c r="I181" s="2">
        <v>2848</v>
      </c>
      <c r="J181" s="2"/>
      <c r="K181" s="2"/>
      <c r="L181" s="2"/>
      <c r="M181" s="2">
        <v>2</v>
      </c>
      <c r="N181" s="2"/>
      <c r="O181" s="2"/>
      <c r="P181" s="1">
        <v>49827.94</v>
      </c>
      <c r="Q181" s="2">
        <v>2848</v>
      </c>
      <c r="R181" s="2">
        <v>2</v>
      </c>
    </row>
    <row r="182" spans="3:18">
      <c r="C182" t="s">
        <v>77</v>
      </c>
      <c r="D182" s="1"/>
      <c r="E182" s="1"/>
      <c r="F182" s="1">
        <v>3245.79</v>
      </c>
      <c r="G182" s="1"/>
      <c r="H182" s="2"/>
      <c r="I182" s="2"/>
      <c r="J182" s="2">
        <v>2743</v>
      </c>
      <c r="K182" s="2"/>
      <c r="L182" s="2"/>
      <c r="M182" s="2"/>
      <c r="N182" s="2">
        <v>1</v>
      </c>
      <c r="O182" s="2"/>
      <c r="P182" s="1">
        <v>3245.79</v>
      </c>
      <c r="Q182" s="2">
        <v>2743</v>
      </c>
      <c r="R182" s="2">
        <v>1</v>
      </c>
    </row>
    <row r="183" spans="3:18">
      <c r="C183" t="s">
        <v>81</v>
      </c>
      <c r="D183" s="1"/>
      <c r="E183" s="1"/>
      <c r="F183" s="1"/>
      <c r="G183" s="1">
        <v>2435.46</v>
      </c>
      <c r="H183" s="2"/>
      <c r="I183" s="2"/>
      <c r="J183" s="2"/>
      <c r="K183" s="2">
        <v>4287</v>
      </c>
      <c r="L183" s="2"/>
      <c r="M183" s="2"/>
      <c r="N183" s="2"/>
      <c r="O183" s="2">
        <v>1</v>
      </c>
      <c r="P183" s="1">
        <v>2435.46</v>
      </c>
      <c r="Q183" s="2">
        <v>4287</v>
      </c>
      <c r="R183" s="2">
        <v>1</v>
      </c>
    </row>
    <row r="184" spans="3:18">
      <c r="C184" t="s">
        <v>25</v>
      </c>
      <c r="D184" s="1"/>
      <c r="E184" s="1"/>
      <c r="F184" s="1">
        <v>1531.31</v>
      </c>
      <c r="G184" s="1"/>
      <c r="H184" s="2"/>
      <c r="I184" s="2"/>
      <c r="J184" s="2">
        <v>2642</v>
      </c>
      <c r="K184" s="2"/>
      <c r="L184" s="2"/>
      <c r="M184" s="2"/>
      <c r="N184" s="2">
        <v>1</v>
      </c>
      <c r="O184" s="2"/>
      <c r="P184" s="1">
        <v>1531.31</v>
      </c>
      <c r="Q184" s="2">
        <v>2642</v>
      </c>
      <c r="R184" s="2">
        <v>1</v>
      </c>
    </row>
    <row r="185" spans="2:18">
      <c r="B185" t="s">
        <v>568</v>
      </c>
      <c r="D185" s="1"/>
      <c r="E185" s="1">
        <v>49827.94</v>
      </c>
      <c r="F185" s="1">
        <v>7595.19</v>
      </c>
      <c r="G185" s="1">
        <v>2435.46</v>
      </c>
      <c r="H185" s="2"/>
      <c r="I185" s="2">
        <v>2848</v>
      </c>
      <c r="J185" s="2">
        <v>8761</v>
      </c>
      <c r="K185" s="2">
        <v>4287</v>
      </c>
      <c r="L185" s="2"/>
      <c r="M185" s="2">
        <v>2</v>
      </c>
      <c r="N185" s="2">
        <v>3</v>
      </c>
      <c r="O185" s="2">
        <v>1</v>
      </c>
      <c r="P185" s="1">
        <v>59858.59</v>
      </c>
      <c r="Q185" s="2">
        <v>15896</v>
      </c>
      <c r="R185" s="2">
        <v>6</v>
      </c>
    </row>
    <row r="186" spans="2:18">
      <c r="B186" t="s">
        <v>27</v>
      </c>
      <c r="C186" t="s">
        <v>39</v>
      </c>
      <c r="D186" s="1"/>
      <c r="E186" s="1"/>
      <c r="F186" s="1">
        <v>22876.01</v>
      </c>
      <c r="G186" s="1"/>
      <c r="H186" s="2"/>
      <c r="I186" s="2"/>
      <c r="J186" s="2">
        <v>9391</v>
      </c>
      <c r="K186" s="2"/>
      <c r="L186" s="2"/>
      <c r="M186" s="2"/>
      <c r="N186" s="2">
        <v>3</v>
      </c>
      <c r="O186" s="2"/>
      <c r="P186" s="1">
        <v>22876.01</v>
      </c>
      <c r="Q186" s="2">
        <v>9391</v>
      </c>
      <c r="R186" s="2">
        <v>3</v>
      </c>
    </row>
    <row r="187" spans="3:18">
      <c r="C187" t="s">
        <v>41</v>
      </c>
      <c r="D187" s="1">
        <v>41981.65</v>
      </c>
      <c r="E187" s="1"/>
      <c r="F187" s="1"/>
      <c r="G187" s="1"/>
      <c r="H187" s="2">
        <v>6025</v>
      </c>
      <c r="I187" s="2"/>
      <c r="J187" s="2"/>
      <c r="K187" s="2"/>
      <c r="L187" s="2">
        <v>2</v>
      </c>
      <c r="M187" s="2"/>
      <c r="N187" s="2"/>
      <c r="O187" s="2"/>
      <c r="P187" s="1">
        <v>41981.65</v>
      </c>
      <c r="Q187" s="2">
        <v>6025</v>
      </c>
      <c r="R187" s="2">
        <v>2</v>
      </c>
    </row>
    <row r="188" spans="3:18">
      <c r="C188" t="s">
        <v>100</v>
      </c>
      <c r="D188" s="1"/>
      <c r="E188" s="1">
        <v>340.66</v>
      </c>
      <c r="F188" s="1"/>
      <c r="G188" s="1"/>
      <c r="H188" s="2"/>
      <c r="I188" s="2">
        <v>3252</v>
      </c>
      <c r="J188" s="2"/>
      <c r="K188" s="2"/>
      <c r="L188" s="2"/>
      <c r="M188" s="2">
        <v>1</v>
      </c>
      <c r="N188" s="2"/>
      <c r="O188" s="2"/>
      <c r="P188" s="1">
        <v>340.66</v>
      </c>
      <c r="Q188" s="2">
        <v>3252</v>
      </c>
      <c r="R188" s="2">
        <v>1</v>
      </c>
    </row>
    <row r="189" spans="3:18">
      <c r="C189" t="s">
        <v>34</v>
      </c>
      <c r="D189" s="1"/>
      <c r="E189" s="1"/>
      <c r="F189" s="1">
        <v>17820.13</v>
      </c>
      <c r="G189" s="1"/>
      <c r="H189" s="2"/>
      <c r="I189" s="2"/>
      <c r="J189" s="2">
        <v>5261</v>
      </c>
      <c r="K189" s="2"/>
      <c r="L189" s="2"/>
      <c r="M189" s="2"/>
      <c r="N189" s="2">
        <v>2</v>
      </c>
      <c r="O189" s="2"/>
      <c r="P189" s="1">
        <v>17820.13</v>
      </c>
      <c r="Q189" s="2">
        <v>5261</v>
      </c>
      <c r="R189" s="2">
        <v>2</v>
      </c>
    </row>
    <row r="190" spans="3:18">
      <c r="C190" t="s">
        <v>77</v>
      </c>
      <c r="D190" s="1"/>
      <c r="E190" s="1"/>
      <c r="F190" s="1">
        <v>11351.49</v>
      </c>
      <c r="G190" s="1"/>
      <c r="H190" s="2"/>
      <c r="I190" s="2"/>
      <c r="J190" s="2">
        <v>3699</v>
      </c>
      <c r="K190" s="2"/>
      <c r="L190" s="2"/>
      <c r="M190" s="2"/>
      <c r="N190" s="2">
        <v>2</v>
      </c>
      <c r="O190" s="2"/>
      <c r="P190" s="1">
        <v>11351.49</v>
      </c>
      <c r="Q190" s="2">
        <v>3699</v>
      </c>
      <c r="R190" s="2">
        <v>2</v>
      </c>
    </row>
    <row r="191" spans="3:18">
      <c r="C191" t="s">
        <v>81</v>
      </c>
      <c r="D191" s="1"/>
      <c r="E191" s="1"/>
      <c r="F191" s="1">
        <v>2655.83</v>
      </c>
      <c r="G191" s="1"/>
      <c r="H191" s="2"/>
      <c r="I191" s="2"/>
      <c r="J191" s="2">
        <v>5094</v>
      </c>
      <c r="K191" s="2"/>
      <c r="L191" s="2"/>
      <c r="M191" s="2"/>
      <c r="N191" s="2">
        <v>2</v>
      </c>
      <c r="O191" s="2"/>
      <c r="P191" s="1">
        <v>2655.83</v>
      </c>
      <c r="Q191" s="2">
        <v>5094</v>
      </c>
      <c r="R191" s="2">
        <v>2</v>
      </c>
    </row>
    <row r="192" spans="3:18">
      <c r="C192" t="s">
        <v>25</v>
      </c>
      <c r="D192" s="1">
        <v>3730.6</v>
      </c>
      <c r="E192" s="1"/>
      <c r="F192" s="1">
        <v>2705.15</v>
      </c>
      <c r="G192" s="1"/>
      <c r="H192" s="2">
        <v>138</v>
      </c>
      <c r="I192" s="2"/>
      <c r="J192" s="2">
        <v>4796</v>
      </c>
      <c r="K192" s="2"/>
      <c r="L192" s="2">
        <v>1</v>
      </c>
      <c r="M192" s="2"/>
      <c r="N192" s="2">
        <v>1</v>
      </c>
      <c r="O192" s="2"/>
      <c r="P192" s="1">
        <v>6435.75</v>
      </c>
      <c r="Q192" s="2">
        <v>4934</v>
      </c>
      <c r="R192" s="2">
        <v>2</v>
      </c>
    </row>
    <row r="193" spans="3:18">
      <c r="C193" t="s">
        <v>51</v>
      </c>
      <c r="D193" s="1"/>
      <c r="E193" s="1"/>
      <c r="F193" s="1">
        <v>14560.11</v>
      </c>
      <c r="G193" s="1">
        <v>11782.05</v>
      </c>
      <c r="H193" s="2"/>
      <c r="I193" s="2"/>
      <c r="J193" s="2">
        <v>4381</v>
      </c>
      <c r="K193" s="2">
        <v>3856</v>
      </c>
      <c r="L193" s="2"/>
      <c r="M193" s="2"/>
      <c r="N193" s="2">
        <v>1</v>
      </c>
      <c r="O193" s="2">
        <v>2</v>
      </c>
      <c r="P193" s="1">
        <v>26342.16</v>
      </c>
      <c r="Q193" s="2">
        <v>8237</v>
      </c>
      <c r="R193" s="2">
        <v>3</v>
      </c>
    </row>
    <row r="194" spans="2:18">
      <c r="B194" t="s">
        <v>569</v>
      </c>
      <c r="D194" s="1">
        <v>45712.25</v>
      </c>
      <c r="E194" s="1">
        <v>340.66</v>
      </c>
      <c r="F194" s="1">
        <v>71968.72</v>
      </c>
      <c r="G194" s="1">
        <v>11782.05</v>
      </c>
      <c r="H194" s="2">
        <v>6163</v>
      </c>
      <c r="I194" s="2">
        <v>3252</v>
      </c>
      <c r="J194" s="2">
        <v>32622</v>
      </c>
      <c r="K194" s="2">
        <v>3856</v>
      </c>
      <c r="L194" s="2">
        <v>3</v>
      </c>
      <c r="M194" s="2">
        <v>1</v>
      </c>
      <c r="N194" s="2">
        <v>11</v>
      </c>
      <c r="O194" s="2">
        <v>2</v>
      </c>
      <c r="P194" s="1">
        <v>129803.68</v>
      </c>
      <c r="Q194" s="2">
        <v>45893</v>
      </c>
      <c r="R194" s="2">
        <v>17</v>
      </c>
    </row>
    <row r="195" spans="1:18">
      <c r="A195" t="s">
        <v>580</v>
      </c>
      <c r="D195" s="1">
        <v>45712.25</v>
      </c>
      <c r="E195" s="1">
        <v>50168.6</v>
      </c>
      <c r="F195" s="1">
        <v>79563.91</v>
      </c>
      <c r="G195" s="1">
        <v>14217.51</v>
      </c>
      <c r="H195" s="2">
        <v>6163</v>
      </c>
      <c r="I195" s="2">
        <v>6100</v>
      </c>
      <c r="J195" s="2">
        <v>41383</v>
      </c>
      <c r="K195" s="2">
        <v>8143</v>
      </c>
      <c r="L195" s="2">
        <v>3</v>
      </c>
      <c r="M195" s="2">
        <v>3</v>
      </c>
      <c r="N195" s="2">
        <v>14</v>
      </c>
      <c r="O195" s="2">
        <v>3</v>
      </c>
      <c r="P195" s="1">
        <v>189662.27</v>
      </c>
      <c r="Q195" s="2">
        <v>61789</v>
      </c>
      <c r="R195" s="2">
        <v>23</v>
      </c>
    </row>
    <row r="196" spans="1:18">
      <c r="A196" t="s">
        <v>38</v>
      </c>
      <c r="B196" t="s">
        <v>21</v>
      </c>
      <c r="C196" t="s">
        <v>39</v>
      </c>
      <c r="D196" s="1"/>
      <c r="E196" s="1"/>
      <c r="F196" s="1">
        <v>16100.73</v>
      </c>
      <c r="G196" s="1"/>
      <c r="H196" s="2"/>
      <c r="I196" s="2"/>
      <c r="J196" s="2">
        <v>6777</v>
      </c>
      <c r="K196" s="2"/>
      <c r="L196" s="2"/>
      <c r="M196" s="2"/>
      <c r="N196" s="2">
        <v>2</v>
      </c>
      <c r="O196" s="2"/>
      <c r="P196" s="1">
        <v>16100.73</v>
      </c>
      <c r="Q196" s="2">
        <v>6777</v>
      </c>
      <c r="R196" s="2">
        <v>2</v>
      </c>
    </row>
    <row r="197" spans="3:18">
      <c r="C197" t="s">
        <v>41</v>
      </c>
      <c r="D197" s="1"/>
      <c r="E197" s="1"/>
      <c r="F197" s="1">
        <v>22201.83</v>
      </c>
      <c r="G197" s="1"/>
      <c r="H197" s="2"/>
      <c r="I197" s="2"/>
      <c r="J197" s="2">
        <v>5260</v>
      </c>
      <c r="K197" s="2"/>
      <c r="L197" s="2"/>
      <c r="M197" s="2"/>
      <c r="N197" s="2">
        <v>2</v>
      </c>
      <c r="O197" s="2"/>
      <c r="P197" s="1">
        <v>22201.83</v>
      </c>
      <c r="Q197" s="2">
        <v>5260</v>
      </c>
      <c r="R197" s="2">
        <v>2</v>
      </c>
    </row>
    <row r="198" spans="3:18">
      <c r="C198" t="s">
        <v>77</v>
      </c>
      <c r="D198" s="1"/>
      <c r="E198" s="1"/>
      <c r="F198" s="1">
        <v>3629.58</v>
      </c>
      <c r="G198" s="1"/>
      <c r="H198" s="2"/>
      <c r="I198" s="2"/>
      <c r="J198" s="2">
        <v>2500</v>
      </c>
      <c r="K198" s="2"/>
      <c r="L198" s="2"/>
      <c r="M198" s="2"/>
      <c r="N198" s="2">
        <v>1</v>
      </c>
      <c r="O198" s="2"/>
      <c r="P198" s="1">
        <v>3629.58</v>
      </c>
      <c r="Q198" s="2">
        <v>2500</v>
      </c>
      <c r="R198" s="2">
        <v>1</v>
      </c>
    </row>
    <row r="199" spans="3:18">
      <c r="C199" t="s">
        <v>81</v>
      </c>
      <c r="D199" s="1"/>
      <c r="E199" s="1">
        <v>2614.46</v>
      </c>
      <c r="F199" s="1">
        <v>227.55</v>
      </c>
      <c r="G199" s="1"/>
      <c r="H199" s="2"/>
      <c r="I199" s="2">
        <v>1877</v>
      </c>
      <c r="J199" s="2">
        <v>4187</v>
      </c>
      <c r="K199" s="2"/>
      <c r="L199" s="2"/>
      <c r="M199" s="2">
        <v>1</v>
      </c>
      <c r="N199" s="2">
        <v>1</v>
      </c>
      <c r="O199" s="2"/>
      <c r="P199" s="1">
        <v>2842.01</v>
      </c>
      <c r="Q199" s="2">
        <v>6064</v>
      </c>
      <c r="R199" s="2">
        <v>2</v>
      </c>
    </row>
    <row r="200" spans="3:18">
      <c r="C200" t="s">
        <v>25</v>
      </c>
      <c r="D200" s="1"/>
      <c r="E200" s="1"/>
      <c r="F200" s="1">
        <v>2794.23</v>
      </c>
      <c r="G200" s="1"/>
      <c r="H200" s="2"/>
      <c r="I200" s="2"/>
      <c r="J200" s="2">
        <v>174</v>
      </c>
      <c r="K200" s="2"/>
      <c r="L200" s="2"/>
      <c r="M200" s="2"/>
      <c r="N200" s="2">
        <v>1</v>
      </c>
      <c r="O200" s="2"/>
      <c r="P200" s="1">
        <v>2794.23</v>
      </c>
      <c r="Q200" s="2">
        <v>174</v>
      </c>
      <c r="R200" s="2">
        <v>1</v>
      </c>
    </row>
    <row r="201" spans="3:18">
      <c r="C201" t="s">
        <v>46</v>
      </c>
      <c r="D201" s="1"/>
      <c r="E201" s="1">
        <v>6629.81</v>
      </c>
      <c r="F201" s="1">
        <v>8004.78</v>
      </c>
      <c r="G201" s="1">
        <v>2833.33</v>
      </c>
      <c r="H201" s="2"/>
      <c r="I201" s="2">
        <v>1694</v>
      </c>
      <c r="J201" s="2">
        <v>810</v>
      </c>
      <c r="K201" s="2">
        <v>811</v>
      </c>
      <c r="L201" s="2"/>
      <c r="M201" s="2">
        <v>1</v>
      </c>
      <c r="N201" s="2">
        <v>2</v>
      </c>
      <c r="O201" s="2">
        <v>1</v>
      </c>
      <c r="P201" s="1">
        <v>17467.92</v>
      </c>
      <c r="Q201" s="2">
        <v>3315</v>
      </c>
      <c r="R201" s="2">
        <v>4</v>
      </c>
    </row>
    <row r="202" spans="2:18">
      <c r="B202" t="s">
        <v>568</v>
      </c>
      <c r="D202" s="1"/>
      <c r="E202" s="1">
        <v>9244.27</v>
      </c>
      <c r="F202" s="1">
        <v>52958.7</v>
      </c>
      <c r="G202" s="1">
        <v>2833.33</v>
      </c>
      <c r="H202" s="2"/>
      <c r="I202" s="2">
        <v>3571</v>
      </c>
      <c r="J202" s="2">
        <v>19708</v>
      </c>
      <c r="K202" s="2">
        <v>811</v>
      </c>
      <c r="L202" s="2"/>
      <c r="M202" s="2">
        <v>2</v>
      </c>
      <c r="N202" s="2">
        <v>9</v>
      </c>
      <c r="O202" s="2">
        <v>1</v>
      </c>
      <c r="P202" s="1">
        <v>65036.3</v>
      </c>
      <c r="Q202" s="2">
        <v>24090</v>
      </c>
      <c r="R202" s="2">
        <v>12</v>
      </c>
    </row>
    <row r="203" spans="2:18">
      <c r="B203" t="s">
        <v>27</v>
      </c>
      <c r="C203" t="s">
        <v>39</v>
      </c>
      <c r="D203" s="1">
        <v>24275.52</v>
      </c>
      <c r="E203" s="1"/>
      <c r="F203" s="1">
        <v>40488.84</v>
      </c>
      <c r="G203" s="1"/>
      <c r="H203" s="2">
        <v>5048</v>
      </c>
      <c r="I203" s="2"/>
      <c r="J203" s="2">
        <v>6777</v>
      </c>
      <c r="K203" s="2"/>
      <c r="L203" s="2">
        <v>2</v>
      </c>
      <c r="M203" s="2"/>
      <c r="N203" s="2">
        <v>3</v>
      </c>
      <c r="O203" s="2"/>
      <c r="P203" s="1">
        <v>64764.36</v>
      </c>
      <c r="Q203" s="2">
        <v>11825</v>
      </c>
      <c r="R203" s="2">
        <v>5</v>
      </c>
    </row>
    <row r="204" spans="3:18">
      <c r="C204" t="s">
        <v>18</v>
      </c>
      <c r="D204" s="1">
        <v>11457.91</v>
      </c>
      <c r="E204" s="1">
        <v>610.56</v>
      </c>
      <c r="F204" s="1">
        <v>15990.53</v>
      </c>
      <c r="G204" s="1"/>
      <c r="H204" s="2">
        <v>1082</v>
      </c>
      <c r="I204" s="2">
        <v>3039</v>
      </c>
      <c r="J204" s="2">
        <v>8122</v>
      </c>
      <c r="K204" s="2"/>
      <c r="L204" s="2">
        <v>1</v>
      </c>
      <c r="M204" s="2">
        <v>1</v>
      </c>
      <c r="N204" s="2">
        <v>4</v>
      </c>
      <c r="O204" s="2"/>
      <c r="P204" s="1">
        <v>28059</v>
      </c>
      <c r="Q204" s="2">
        <v>12243</v>
      </c>
      <c r="R204" s="2">
        <v>6</v>
      </c>
    </row>
    <row r="205" spans="3:18">
      <c r="C205" t="s">
        <v>41</v>
      </c>
      <c r="D205" s="1"/>
      <c r="E205" s="1"/>
      <c r="F205" s="1">
        <v>9018.8</v>
      </c>
      <c r="G205" s="1"/>
      <c r="H205" s="2"/>
      <c r="I205" s="2"/>
      <c r="J205" s="2">
        <v>2269</v>
      </c>
      <c r="K205" s="2"/>
      <c r="L205" s="2"/>
      <c r="M205" s="2"/>
      <c r="N205" s="2">
        <v>1</v>
      </c>
      <c r="O205" s="2"/>
      <c r="P205" s="1">
        <v>9018.8</v>
      </c>
      <c r="Q205" s="2">
        <v>2269</v>
      </c>
      <c r="R205" s="2">
        <v>1</v>
      </c>
    </row>
    <row r="206" spans="3:18">
      <c r="C206" t="s">
        <v>100</v>
      </c>
      <c r="D206" s="1"/>
      <c r="E206" s="1">
        <v>541.36</v>
      </c>
      <c r="F206" s="1">
        <v>4493.63</v>
      </c>
      <c r="G206" s="1"/>
      <c r="H206" s="2"/>
      <c r="I206" s="2">
        <v>669</v>
      </c>
      <c r="J206" s="2">
        <v>3184</v>
      </c>
      <c r="K206" s="2"/>
      <c r="L206" s="2"/>
      <c r="M206" s="2">
        <v>1</v>
      </c>
      <c r="N206" s="2">
        <v>1</v>
      </c>
      <c r="O206" s="2"/>
      <c r="P206" s="1">
        <v>5034.99</v>
      </c>
      <c r="Q206" s="2">
        <v>3853</v>
      </c>
      <c r="R206" s="2">
        <v>2</v>
      </c>
    </row>
    <row r="207" spans="3:18">
      <c r="C207" t="s">
        <v>34</v>
      </c>
      <c r="D207" s="1"/>
      <c r="E207" s="1">
        <v>8869.92</v>
      </c>
      <c r="F207" s="1">
        <v>31566.82</v>
      </c>
      <c r="G207" s="1">
        <v>48778.97</v>
      </c>
      <c r="H207" s="2"/>
      <c r="I207" s="2">
        <v>1800</v>
      </c>
      <c r="J207" s="2">
        <v>4345</v>
      </c>
      <c r="K207" s="2">
        <v>2605</v>
      </c>
      <c r="L207" s="2"/>
      <c r="M207" s="2">
        <v>1</v>
      </c>
      <c r="N207" s="2">
        <v>1</v>
      </c>
      <c r="O207" s="2">
        <v>1</v>
      </c>
      <c r="P207" s="1">
        <v>89215.71</v>
      </c>
      <c r="Q207" s="2">
        <v>8750</v>
      </c>
      <c r="R207" s="2">
        <v>3</v>
      </c>
    </row>
    <row r="208" spans="3:18">
      <c r="C208" t="s">
        <v>77</v>
      </c>
      <c r="D208" s="1">
        <v>5467.5</v>
      </c>
      <c r="E208" s="1"/>
      <c r="F208" s="1">
        <v>31750.6</v>
      </c>
      <c r="G208" s="1">
        <v>9121.52</v>
      </c>
      <c r="H208" s="2">
        <v>391</v>
      </c>
      <c r="I208" s="2"/>
      <c r="J208" s="2">
        <v>11606</v>
      </c>
      <c r="K208" s="2">
        <v>1096</v>
      </c>
      <c r="L208" s="2">
        <v>1</v>
      </c>
      <c r="M208" s="2"/>
      <c r="N208" s="2">
        <v>5</v>
      </c>
      <c r="O208" s="2">
        <v>1</v>
      </c>
      <c r="P208" s="1">
        <v>46339.62</v>
      </c>
      <c r="Q208" s="2">
        <v>13093</v>
      </c>
      <c r="R208" s="2">
        <v>7</v>
      </c>
    </row>
    <row r="209" spans="3:18">
      <c r="C209" t="s">
        <v>81</v>
      </c>
      <c r="D209" s="1">
        <v>4998.57</v>
      </c>
      <c r="E209" s="1"/>
      <c r="F209" s="1"/>
      <c r="G209" s="1"/>
      <c r="H209" s="2">
        <v>5202</v>
      </c>
      <c r="I209" s="2"/>
      <c r="J209" s="2"/>
      <c r="K209" s="2"/>
      <c r="L209" s="2">
        <v>3</v>
      </c>
      <c r="M209" s="2"/>
      <c r="N209" s="2"/>
      <c r="O209" s="2"/>
      <c r="P209" s="1">
        <v>4998.57</v>
      </c>
      <c r="Q209" s="2">
        <v>5202</v>
      </c>
      <c r="R209" s="2">
        <v>3</v>
      </c>
    </row>
    <row r="210" spans="3:18">
      <c r="C210" t="s">
        <v>25</v>
      </c>
      <c r="D210" s="1">
        <v>7197.32</v>
      </c>
      <c r="E210" s="1"/>
      <c r="F210" s="1">
        <v>4282.41</v>
      </c>
      <c r="G210" s="1"/>
      <c r="H210" s="2">
        <v>4115</v>
      </c>
      <c r="I210" s="2"/>
      <c r="J210" s="2">
        <v>4118</v>
      </c>
      <c r="K210" s="2"/>
      <c r="L210" s="2">
        <v>2</v>
      </c>
      <c r="M210" s="2"/>
      <c r="N210" s="2">
        <v>1</v>
      </c>
      <c r="O210" s="2"/>
      <c r="P210" s="1">
        <v>11479.73</v>
      </c>
      <c r="Q210" s="2">
        <v>8233</v>
      </c>
      <c r="R210" s="2">
        <v>3</v>
      </c>
    </row>
    <row r="211" spans="3:18">
      <c r="C211" t="s">
        <v>51</v>
      </c>
      <c r="D211" s="1">
        <v>25733.96</v>
      </c>
      <c r="E211" s="1"/>
      <c r="F211" s="1">
        <v>14455.18</v>
      </c>
      <c r="G211" s="1"/>
      <c r="H211" s="2">
        <v>5418</v>
      </c>
      <c r="I211" s="2"/>
      <c r="J211" s="2">
        <v>4102</v>
      </c>
      <c r="K211" s="2"/>
      <c r="L211" s="2">
        <v>2</v>
      </c>
      <c r="M211" s="2"/>
      <c r="N211" s="2">
        <v>2</v>
      </c>
      <c r="O211" s="2"/>
      <c r="P211" s="1">
        <v>40189.14</v>
      </c>
      <c r="Q211" s="2">
        <v>9520</v>
      </c>
      <c r="R211" s="2">
        <v>4</v>
      </c>
    </row>
    <row r="212" spans="3:18">
      <c r="C212" t="s">
        <v>46</v>
      </c>
      <c r="D212" s="1"/>
      <c r="E212" s="1">
        <v>5201.99</v>
      </c>
      <c r="F212" s="1">
        <v>8814.46</v>
      </c>
      <c r="G212" s="1"/>
      <c r="H212" s="2"/>
      <c r="I212" s="2">
        <v>1497</v>
      </c>
      <c r="J212" s="2">
        <v>6908</v>
      </c>
      <c r="K212" s="2"/>
      <c r="L212" s="2"/>
      <c r="M212" s="2">
        <v>1</v>
      </c>
      <c r="N212" s="2">
        <v>3</v>
      </c>
      <c r="O212" s="2"/>
      <c r="P212" s="1">
        <v>14016.45</v>
      </c>
      <c r="Q212" s="2">
        <v>8405</v>
      </c>
      <c r="R212" s="2">
        <v>4</v>
      </c>
    </row>
    <row r="213" spans="2:18">
      <c r="B213" t="s">
        <v>569</v>
      </c>
      <c r="D213" s="1">
        <v>79130.78</v>
      </c>
      <c r="E213" s="1">
        <v>15223.83</v>
      </c>
      <c r="F213" s="1">
        <v>160861.27</v>
      </c>
      <c r="G213" s="1">
        <v>57900.49</v>
      </c>
      <c r="H213" s="2">
        <v>21256</v>
      </c>
      <c r="I213" s="2">
        <v>7005</v>
      </c>
      <c r="J213" s="2">
        <v>51431</v>
      </c>
      <c r="K213" s="2">
        <v>3701</v>
      </c>
      <c r="L213" s="2">
        <v>11</v>
      </c>
      <c r="M213" s="2">
        <v>4</v>
      </c>
      <c r="N213" s="2">
        <v>21</v>
      </c>
      <c r="O213" s="2">
        <v>2</v>
      </c>
      <c r="P213" s="1">
        <v>313116.37</v>
      </c>
      <c r="Q213" s="2">
        <v>83393</v>
      </c>
      <c r="R213" s="2">
        <v>38</v>
      </c>
    </row>
    <row r="214" spans="1:18">
      <c r="A214" t="s">
        <v>581</v>
      </c>
      <c r="D214" s="1">
        <v>79130.78</v>
      </c>
      <c r="E214" s="1">
        <v>24468.1</v>
      </c>
      <c r="F214" s="1">
        <v>213819.97</v>
      </c>
      <c r="G214" s="1">
        <v>60733.82</v>
      </c>
      <c r="H214" s="2">
        <v>21256</v>
      </c>
      <c r="I214" s="2">
        <v>10576</v>
      </c>
      <c r="J214" s="2">
        <v>71139</v>
      </c>
      <c r="K214" s="2">
        <v>4512</v>
      </c>
      <c r="L214" s="2">
        <v>11</v>
      </c>
      <c r="M214" s="2">
        <v>6</v>
      </c>
      <c r="N214" s="2">
        <v>30</v>
      </c>
      <c r="O214" s="2">
        <v>3</v>
      </c>
      <c r="P214" s="1">
        <v>378152.67</v>
      </c>
      <c r="Q214" s="2">
        <v>107483</v>
      </c>
      <c r="R214" s="2">
        <v>50</v>
      </c>
    </row>
    <row r="215" spans="1:18">
      <c r="A215" t="s">
        <v>65</v>
      </c>
      <c r="B215" t="s">
        <v>21</v>
      </c>
      <c r="C215" t="s">
        <v>18</v>
      </c>
      <c r="D215" s="1"/>
      <c r="E215" s="1"/>
      <c r="F215" s="1"/>
      <c r="G215" s="1">
        <v>2916.02</v>
      </c>
      <c r="H215" s="2"/>
      <c r="I215" s="2"/>
      <c r="J215" s="2"/>
      <c r="K215" s="2">
        <v>1782</v>
      </c>
      <c r="L215" s="2"/>
      <c r="M215" s="2"/>
      <c r="N215" s="2"/>
      <c r="O215" s="2">
        <v>1</v>
      </c>
      <c r="P215" s="1">
        <v>2916.02</v>
      </c>
      <c r="Q215" s="2">
        <v>1782</v>
      </c>
      <c r="R215" s="2">
        <v>1</v>
      </c>
    </row>
    <row r="216" spans="3:18">
      <c r="C216" t="s">
        <v>41</v>
      </c>
      <c r="D216" s="1"/>
      <c r="E216" s="1">
        <v>1483.71</v>
      </c>
      <c r="F216" s="1"/>
      <c r="G216" s="1"/>
      <c r="H216" s="2"/>
      <c r="I216" s="2">
        <v>826</v>
      </c>
      <c r="J216" s="2"/>
      <c r="K216" s="2"/>
      <c r="L216" s="2"/>
      <c r="M216" s="2">
        <v>1</v>
      </c>
      <c r="N216" s="2"/>
      <c r="O216" s="2"/>
      <c r="P216" s="1">
        <v>1483.71</v>
      </c>
      <c r="Q216" s="2">
        <v>826</v>
      </c>
      <c r="R216" s="2">
        <v>1</v>
      </c>
    </row>
    <row r="217" spans="3:18">
      <c r="C217" t="s">
        <v>100</v>
      </c>
      <c r="D217" s="1"/>
      <c r="E217" s="1">
        <v>4106.39</v>
      </c>
      <c r="F217" s="1"/>
      <c r="G217" s="1"/>
      <c r="H217" s="2"/>
      <c r="I217" s="2">
        <v>1275</v>
      </c>
      <c r="J217" s="2"/>
      <c r="K217" s="2"/>
      <c r="L217" s="2"/>
      <c r="M217" s="2">
        <v>1</v>
      </c>
      <c r="N217" s="2"/>
      <c r="O217" s="2"/>
      <c r="P217" s="1">
        <v>4106.39</v>
      </c>
      <c r="Q217" s="2">
        <v>1275</v>
      </c>
      <c r="R217" s="2">
        <v>1</v>
      </c>
    </row>
    <row r="218" spans="2:18">
      <c r="B218" t="s">
        <v>568</v>
      </c>
      <c r="D218" s="1"/>
      <c r="E218" s="1">
        <v>5590.1</v>
      </c>
      <c r="F218" s="1"/>
      <c r="G218" s="1">
        <v>2916.02</v>
      </c>
      <c r="H218" s="2"/>
      <c r="I218" s="2">
        <v>2101</v>
      </c>
      <c r="J218" s="2"/>
      <c r="K218" s="2">
        <v>1782</v>
      </c>
      <c r="L218" s="2"/>
      <c r="M218" s="2">
        <v>2</v>
      </c>
      <c r="N218" s="2"/>
      <c r="O218" s="2">
        <v>1</v>
      </c>
      <c r="P218" s="1">
        <v>8506.12</v>
      </c>
      <c r="Q218" s="2">
        <v>3883</v>
      </c>
      <c r="R218" s="2">
        <v>3</v>
      </c>
    </row>
    <row r="219" spans="2:18">
      <c r="B219" t="s">
        <v>27</v>
      </c>
      <c r="C219" t="s">
        <v>39</v>
      </c>
      <c r="D219" s="1">
        <v>29001.74</v>
      </c>
      <c r="E219" s="1"/>
      <c r="F219" s="1">
        <v>13280.3</v>
      </c>
      <c r="G219" s="1"/>
      <c r="H219" s="2">
        <v>4091</v>
      </c>
      <c r="I219" s="2"/>
      <c r="J219" s="2">
        <v>811</v>
      </c>
      <c r="K219" s="2"/>
      <c r="L219" s="2">
        <v>2</v>
      </c>
      <c r="M219" s="2"/>
      <c r="N219" s="2">
        <v>1</v>
      </c>
      <c r="O219" s="2"/>
      <c r="P219" s="1">
        <v>42282.04</v>
      </c>
      <c r="Q219" s="2">
        <v>4902</v>
      </c>
      <c r="R219" s="2">
        <v>3</v>
      </c>
    </row>
    <row r="220" spans="3:18">
      <c r="C220" t="s">
        <v>18</v>
      </c>
      <c r="D220" s="1">
        <v>1672.31</v>
      </c>
      <c r="E220" s="1"/>
      <c r="F220" s="1"/>
      <c r="G220" s="1">
        <v>11320.24</v>
      </c>
      <c r="H220" s="2">
        <v>2272</v>
      </c>
      <c r="I220" s="2"/>
      <c r="J220" s="2"/>
      <c r="K220" s="2">
        <v>3342</v>
      </c>
      <c r="L220" s="2">
        <v>1</v>
      </c>
      <c r="M220" s="2"/>
      <c r="N220" s="2"/>
      <c r="O220" s="2">
        <v>1</v>
      </c>
      <c r="P220" s="1">
        <v>12992.55</v>
      </c>
      <c r="Q220" s="2">
        <v>5614</v>
      </c>
      <c r="R220" s="2">
        <v>2</v>
      </c>
    </row>
    <row r="221" spans="3:18">
      <c r="C221" t="s">
        <v>41</v>
      </c>
      <c r="D221" s="1">
        <v>5719.12</v>
      </c>
      <c r="E221" s="1"/>
      <c r="F221" s="1">
        <v>7024.95</v>
      </c>
      <c r="G221" s="1"/>
      <c r="H221" s="2">
        <v>1110</v>
      </c>
      <c r="I221" s="2"/>
      <c r="J221" s="2">
        <v>2288</v>
      </c>
      <c r="K221" s="2"/>
      <c r="L221" s="2">
        <v>1</v>
      </c>
      <c r="M221" s="2"/>
      <c r="N221" s="2">
        <v>2</v>
      </c>
      <c r="O221" s="2"/>
      <c r="P221" s="1">
        <v>12744.07</v>
      </c>
      <c r="Q221" s="2">
        <v>3398</v>
      </c>
      <c r="R221" s="2">
        <v>3</v>
      </c>
    </row>
    <row r="222" spans="3:18">
      <c r="C222" t="s">
        <v>100</v>
      </c>
      <c r="D222" s="1"/>
      <c r="E222" s="1"/>
      <c r="F222" s="1">
        <v>7914.32</v>
      </c>
      <c r="G222" s="1">
        <v>587.7</v>
      </c>
      <c r="H222" s="2"/>
      <c r="I222" s="2"/>
      <c r="J222" s="2">
        <v>5104</v>
      </c>
      <c r="K222" s="2">
        <v>2444</v>
      </c>
      <c r="L222" s="2"/>
      <c r="M222" s="2"/>
      <c r="N222" s="2">
        <v>3</v>
      </c>
      <c r="O222" s="2">
        <v>1</v>
      </c>
      <c r="P222" s="1">
        <v>8502.02</v>
      </c>
      <c r="Q222" s="2">
        <v>7548</v>
      </c>
      <c r="R222" s="2">
        <v>4</v>
      </c>
    </row>
    <row r="223" spans="3:18">
      <c r="C223" t="s">
        <v>34</v>
      </c>
      <c r="D223" s="1">
        <v>32890.16</v>
      </c>
      <c r="E223" s="1"/>
      <c r="F223" s="1">
        <v>45995.91</v>
      </c>
      <c r="G223" s="1"/>
      <c r="H223" s="2">
        <v>1402</v>
      </c>
      <c r="I223" s="2"/>
      <c r="J223" s="2">
        <v>4576</v>
      </c>
      <c r="K223" s="2"/>
      <c r="L223" s="2">
        <v>1</v>
      </c>
      <c r="M223" s="2"/>
      <c r="N223" s="2">
        <v>2</v>
      </c>
      <c r="O223" s="2"/>
      <c r="P223" s="1">
        <v>78886.07</v>
      </c>
      <c r="Q223" s="2">
        <v>5978</v>
      </c>
      <c r="R223" s="2">
        <v>3</v>
      </c>
    </row>
    <row r="224" spans="3:18">
      <c r="C224" t="s">
        <v>77</v>
      </c>
      <c r="D224" s="1"/>
      <c r="E224" s="1"/>
      <c r="F224" s="1">
        <v>4395.49</v>
      </c>
      <c r="G224" s="1"/>
      <c r="H224" s="2"/>
      <c r="I224" s="2"/>
      <c r="J224" s="2">
        <v>2186</v>
      </c>
      <c r="K224" s="2"/>
      <c r="L224" s="2"/>
      <c r="M224" s="2"/>
      <c r="N224" s="2">
        <v>1</v>
      </c>
      <c r="O224" s="2"/>
      <c r="P224" s="1">
        <v>4395.49</v>
      </c>
      <c r="Q224" s="2">
        <v>2186</v>
      </c>
      <c r="R224" s="2">
        <v>1</v>
      </c>
    </row>
    <row r="225" spans="3:18">
      <c r="C225" t="s">
        <v>81</v>
      </c>
      <c r="D225" s="1">
        <v>3429.04</v>
      </c>
      <c r="E225" s="1"/>
      <c r="F225" s="1">
        <v>2930.91</v>
      </c>
      <c r="G225" s="1"/>
      <c r="H225" s="2">
        <v>5041</v>
      </c>
      <c r="I225" s="2"/>
      <c r="J225" s="2">
        <v>2345</v>
      </c>
      <c r="K225" s="2"/>
      <c r="L225" s="2">
        <v>2</v>
      </c>
      <c r="M225" s="2"/>
      <c r="N225" s="2">
        <v>2</v>
      </c>
      <c r="O225" s="2"/>
      <c r="P225" s="1">
        <v>6359.95</v>
      </c>
      <c r="Q225" s="2">
        <v>7386</v>
      </c>
      <c r="R225" s="2">
        <v>4</v>
      </c>
    </row>
    <row r="226" spans="3:18">
      <c r="C226" t="s">
        <v>25</v>
      </c>
      <c r="D226" s="1"/>
      <c r="E226" s="1"/>
      <c r="F226" s="1">
        <v>249.19</v>
      </c>
      <c r="G226" s="1"/>
      <c r="H226" s="2"/>
      <c r="I226" s="2"/>
      <c r="J226" s="2">
        <v>1862</v>
      </c>
      <c r="K226" s="2"/>
      <c r="L226" s="2"/>
      <c r="M226" s="2"/>
      <c r="N226" s="2">
        <v>1</v>
      </c>
      <c r="O226" s="2"/>
      <c r="P226" s="1">
        <v>249.19</v>
      </c>
      <c r="Q226" s="2">
        <v>1862</v>
      </c>
      <c r="R226" s="2">
        <v>1</v>
      </c>
    </row>
    <row r="227" spans="3:18">
      <c r="C227" t="s">
        <v>51</v>
      </c>
      <c r="D227" s="1">
        <v>10464.97</v>
      </c>
      <c r="E227" s="1"/>
      <c r="F227" s="1">
        <v>9937.18</v>
      </c>
      <c r="G227" s="1">
        <v>4372.62</v>
      </c>
      <c r="H227" s="2">
        <v>4963</v>
      </c>
      <c r="I227" s="2"/>
      <c r="J227" s="2">
        <v>3511</v>
      </c>
      <c r="K227" s="2">
        <v>1292</v>
      </c>
      <c r="L227" s="2">
        <v>2</v>
      </c>
      <c r="M227" s="2"/>
      <c r="N227" s="2">
        <v>2</v>
      </c>
      <c r="O227" s="2">
        <v>1</v>
      </c>
      <c r="P227" s="1">
        <v>24774.77</v>
      </c>
      <c r="Q227" s="2">
        <v>9766</v>
      </c>
      <c r="R227" s="2">
        <v>5</v>
      </c>
    </row>
    <row r="228" spans="3:18">
      <c r="C228" t="s">
        <v>46</v>
      </c>
      <c r="D228" s="1">
        <v>5582.3</v>
      </c>
      <c r="E228" s="1"/>
      <c r="F228" s="1">
        <v>7673.26</v>
      </c>
      <c r="G228" s="1"/>
      <c r="H228" s="2">
        <v>3358</v>
      </c>
      <c r="I228" s="2"/>
      <c r="J228" s="2">
        <v>1294</v>
      </c>
      <c r="K228" s="2"/>
      <c r="L228" s="2">
        <v>1</v>
      </c>
      <c r="M228" s="2"/>
      <c r="N228" s="2">
        <v>1</v>
      </c>
      <c r="O228" s="2"/>
      <c r="P228" s="1">
        <v>13255.56</v>
      </c>
      <c r="Q228" s="2">
        <v>4652</v>
      </c>
      <c r="R228" s="2">
        <v>2</v>
      </c>
    </row>
    <row r="229" spans="2:18">
      <c r="B229" t="s">
        <v>569</v>
      </c>
      <c r="D229" s="1">
        <v>88759.64</v>
      </c>
      <c r="E229" s="1"/>
      <c r="F229" s="1">
        <v>99401.51</v>
      </c>
      <c r="G229" s="1">
        <v>16280.56</v>
      </c>
      <c r="H229" s="2">
        <v>22237</v>
      </c>
      <c r="I229" s="2"/>
      <c r="J229" s="2">
        <v>23977</v>
      </c>
      <c r="K229" s="2">
        <v>7078</v>
      </c>
      <c r="L229" s="2">
        <v>10</v>
      </c>
      <c r="M229" s="2"/>
      <c r="N229" s="2">
        <v>15</v>
      </c>
      <c r="O229" s="2">
        <v>3</v>
      </c>
      <c r="P229" s="1">
        <v>204441.71</v>
      </c>
      <c r="Q229" s="2">
        <v>53292</v>
      </c>
      <c r="R229" s="2">
        <v>28</v>
      </c>
    </row>
    <row r="230" spans="1:18">
      <c r="A230" t="s">
        <v>582</v>
      </c>
      <c r="D230" s="1">
        <v>88759.64</v>
      </c>
      <c r="E230" s="1">
        <v>5590.1</v>
      </c>
      <c r="F230" s="1">
        <v>99401.51</v>
      </c>
      <c r="G230" s="1">
        <v>19196.58</v>
      </c>
      <c r="H230" s="2">
        <v>22237</v>
      </c>
      <c r="I230" s="2">
        <v>2101</v>
      </c>
      <c r="J230" s="2">
        <v>23977</v>
      </c>
      <c r="K230" s="2">
        <v>8860</v>
      </c>
      <c r="L230" s="2">
        <v>10</v>
      </c>
      <c r="M230" s="2">
        <v>2</v>
      </c>
      <c r="N230" s="2">
        <v>15</v>
      </c>
      <c r="O230" s="2">
        <v>4</v>
      </c>
      <c r="P230" s="1">
        <v>212947.83</v>
      </c>
      <c r="Q230" s="2">
        <v>57175</v>
      </c>
      <c r="R230" s="2">
        <v>31</v>
      </c>
    </row>
    <row r="231" spans="1:18">
      <c r="A231" t="s">
        <v>29</v>
      </c>
      <c r="B231" t="s">
        <v>21</v>
      </c>
      <c r="C231" t="s">
        <v>39</v>
      </c>
      <c r="D231" s="1"/>
      <c r="E231" s="1"/>
      <c r="F231" s="1"/>
      <c r="G231" s="1">
        <v>15448.16</v>
      </c>
      <c r="H231" s="2"/>
      <c r="I231" s="2"/>
      <c r="J231" s="2"/>
      <c r="K231" s="2">
        <v>4869</v>
      </c>
      <c r="L231" s="2"/>
      <c r="M231" s="2"/>
      <c r="N231" s="2"/>
      <c r="O231" s="2">
        <v>1</v>
      </c>
      <c r="P231" s="1">
        <v>15448.16</v>
      </c>
      <c r="Q231" s="2">
        <v>4869</v>
      </c>
      <c r="R231" s="2">
        <v>1</v>
      </c>
    </row>
    <row r="232" spans="3:18">
      <c r="C232" t="s">
        <v>18</v>
      </c>
      <c r="D232" s="1"/>
      <c r="E232" s="1">
        <v>7786.9</v>
      </c>
      <c r="F232" s="1"/>
      <c r="G232" s="1">
        <v>6826.39</v>
      </c>
      <c r="H232" s="2"/>
      <c r="I232" s="2">
        <v>3046</v>
      </c>
      <c r="J232" s="2"/>
      <c r="K232" s="2">
        <v>4135</v>
      </c>
      <c r="L232" s="2"/>
      <c r="M232" s="2">
        <v>1</v>
      </c>
      <c r="N232" s="2"/>
      <c r="O232" s="2">
        <v>2</v>
      </c>
      <c r="P232" s="1">
        <v>14613.29</v>
      </c>
      <c r="Q232" s="2">
        <v>7181</v>
      </c>
      <c r="R232" s="2">
        <v>3</v>
      </c>
    </row>
    <row r="233" spans="3:18">
      <c r="C233" t="s">
        <v>41</v>
      </c>
      <c r="D233" s="1"/>
      <c r="E233" s="1">
        <v>22673.92</v>
      </c>
      <c r="F233" s="1"/>
      <c r="G233" s="1"/>
      <c r="H233" s="2"/>
      <c r="I233" s="2">
        <v>4792</v>
      </c>
      <c r="J233" s="2"/>
      <c r="K233" s="2"/>
      <c r="L233" s="2"/>
      <c r="M233" s="2">
        <v>1</v>
      </c>
      <c r="N233" s="2"/>
      <c r="O233" s="2"/>
      <c r="P233" s="1">
        <v>22673.92</v>
      </c>
      <c r="Q233" s="2">
        <v>4792</v>
      </c>
      <c r="R233" s="2">
        <v>1</v>
      </c>
    </row>
    <row r="234" spans="3:18">
      <c r="C234" t="s">
        <v>100</v>
      </c>
      <c r="D234" s="1"/>
      <c r="E234" s="1"/>
      <c r="F234" s="1">
        <v>3866.05</v>
      </c>
      <c r="G234" s="1"/>
      <c r="H234" s="2"/>
      <c r="I234" s="2"/>
      <c r="J234" s="2">
        <v>4798</v>
      </c>
      <c r="K234" s="2"/>
      <c r="L234" s="2"/>
      <c r="M234" s="2"/>
      <c r="N234" s="2">
        <v>1</v>
      </c>
      <c r="O234" s="2"/>
      <c r="P234" s="1">
        <v>3866.05</v>
      </c>
      <c r="Q234" s="2">
        <v>4798</v>
      </c>
      <c r="R234" s="2">
        <v>1</v>
      </c>
    </row>
    <row r="235" spans="3:18">
      <c r="C235" t="s">
        <v>77</v>
      </c>
      <c r="D235" s="1"/>
      <c r="E235" s="1">
        <v>12348.35</v>
      </c>
      <c r="F235" s="1"/>
      <c r="G235" s="1"/>
      <c r="H235" s="2"/>
      <c r="I235" s="2">
        <v>3159</v>
      </c>
      <c r="J235" s="2"/>
      <c r="K235" s="2"/>
      <c r="L235" s="2"/>
      <c r="M235" s="2">
        <v>1</v>
      </c>
      <c r="N235" s="2"/>
      <c r="O235" s="2"/>
      <c r="P235" s="1">
        <v>12348.35</v>
      </c>
      <c r="Q235" s="2">
        <v>3159</v>
      </c>
      <c r="R235" s="2">
        <v>1</v>
      </c>
    </row>
    <row r="236" spans="2:18">
      <c r="B236" t="s">
        <v>568</v>
      </c>
      <c r="D236" s="1"/>
      <c r="E236" s="1">
        <v>42809.17</v>
      </c>
      <c r="F236" s="1">
        <v>3866.05</v>
      </c>
      <c r="G236" s="1">
        <v>22274.55</v>
      </c>
      <c r="H236" s="2"/>
      <c r="I236" s="2">
        <v>10997</v>
      </c>
      <c r="J236" s="2">
        <v>4798</v>
      </c>
      <c r="K236" s="2">
        <v>9004</v>
      </c>
      <c r="L236" s="2"/>
      <c r="M236" s="2">
        <v>3</v>
      </c>
      <c r="N236" s="2">
        <v>1</v>
      </c>
      <c r="O236" s="2">
        <v>3</v>
      </c>
      <c r="P236" s="1">
        <v>68949.77</v>
      </c>
      <c r="Q236" s="2">
        <v>24799</v>
      </c>
      <c r="R236" s="2">
        <v>7</v>
      </c>
    </row>
    <row r="237" spans="2:18">
      <c r="B237" t="s">
        <v>27</v>
      </c>
      <c r="C237" t="s">
        <v>39</v>
      </c>
      <c r="D237" s="1">
        <v>18311.02</v>
      </c>
      <c r="E237" s="1">
        <v>12680.05</v>
      </c>
      <c r="F237" s="1">
        <v>7297.33</v>
      </c>
      <c r="G237" s="1"/>
      <c r="H237" s="2">
        <v>4619</v>
      </c>
      <c r="I237" s="2">
        <v>3931</v>
      </c>
      <c r="J237" s="2">
        <v>2437</v>
      </c>
      <c r="K237" s="2"/>
      <c r="L237" s="2">
        <v>1</v>
      </c>
      <c r="M237" s="2">
        <v>1</v>
      </c>
      <c r="N237" s="2">
        <v>1</v>
      </c>
      <c r="O237" s="2"/>
      <c r="P237" s="1">
        <v>38288.4</v>
      </c>
      <c r="Q237" s="2">
        <v>10987</v>
      </c>
      <c r="R237" s="2">
        <v>3</v>
      </c>
    </row>
    <row r="238" spans="3:18">
      <c r="C238" t="s">
        <v>18</v>
      </c>
      <c r="D238" s="1">
        <v>12961.74</v>
      </c>
      <c r="E238" s="1"/>
      <c r="F238" s="1">
        <v>7781.57</v>
      </c>
      <c r="G238" s="1">
        <v>6947.98</v>
      </c>
      <c r="H238" s="2">
        <v>769</v>
      </c>
      <c r="I238" s="2"/>
      <c r="J238" s="2">
        <v>3239</v>
      </c>
      <c r="K238" s="2">
        <v>5738</v>
      </c>
      <c r="L238" s="2">
        <v>2</v>
      </c>
      <c r="M238" s="2"/>
      <c r="N238" s="2">
        <v>1</v>
      </c>
      <c r="O238" s="2">
        <v>2</v>
      </c>
      <c r="P238" s="1">
        <v>27691.29</v>
      </c>
      <c r="Q238" s="2">
        <v>9746</v>
      </c>
      <c r="R238" s="2">
        <v>5</v>
      </c>
    </row>
    <row r="239" spans="3:18">
      <c r="C239" t="s">
        <v>41</v>
      </c>
      <c r="D239" s="1">
        <v>574.05</v>
      </c>
      <c r="E239" s="1">
        <v>7756.68</v>
      </c>
      <c r="F239" s="1">
        <v>42279.8</v>
      </c>
      <c r="G239" s="1"/>
      <c r="H239" s="2">
        <v>3035</v>
      </c>
      <c r="I239" s="2">
        <v>475</v>
      </c>
      <c r="J239" s="2">
        <v>7123</v>
      </c>
      <c r="K239" s="2"/>
      <c r="L239" s="2">
        <v>1</v>
      </c>
      <c r="M239" s="2">
        <v>1</v>
      </c>
      <c r="N239" s="2">
        <v>2</v>
      </c>
      <c r="O239" s="2"/>
      <c r="P239" s="1">
        <v>50610.53</v>
      </c>
      <c r="Q239" s="2">
        <v>10633</v>
      </c>
      <c r="R239" s="2">
        <v>4</v>
      </c>
    </row>
    <row r="240" spans="3:18">
      <c r="C240" t="s">
        <v>100</v>
      </c>
      <c r="D240" s="1"/>
      <c r="E240" s="1"/>
      <c r="F240" s="1">
        <v>3909.19</v>
      </c>
      <c r="G240" s="1"/>
      <c r="H240" s="2"/>
      <c r="I240" s="2"/>
      <c r="J240" s="2">
        <v>2279</v>
      </c>
      <c r="K240" s="2"/>
      <c r="L240" s="2"/>
      <c r="M240" s="2"/>
      <c r="N240" s="2">
        <v>1</v>
      </c>
      <c r="O240" s="2"/>
      <c r="P240" s="1">
        <v>3909.19</v>
      </c>
      <c r="Q240" s="2">
        <v>2279</v>
      </c>
      <c r="R240" s="2">
        <v>1</v>
      </c>
    </row>
    <row r="241" spans="3:18">
      <c r="C241" t="s">
        <v>34</v>
      </c>
      <c r="D241" s="1"/>
      <c r="E241" s="1"/>
      <c r="F241" s="1">
        <v>65360.37</v>
      </c>
      <c r="G241" s="1">
        <v>30890.42</v>
      </c>
      <c r="H241" s="2"/>
      <c r="I241" s="2"/>
      <c r="J241" s="2">
        <v>8268</v>
      </c>
      <c r="K241" s="2">
        <v>4943</v>
      </c>
      <c r="L241" s="2"/>
      <c r="M241" s="2"/>
      <c r="N241" s="2">
        <v>2</v>
      </c>
      <c r="O241" s="2">
        <v>1</v>
      </c>
      <c r="P241" s="1">
        <v>96250.79</v>
      </c>
      <c r="Q241" s="2">
        <v>13211</v>
      </c>
      <c r="R241" s="2">
        <v>3</v>
      </c>
    </row>
    <row r="242" spans="3:18">
      <c r="C242" t="s">
        <v>77</v>
      </c>
      <c r="D242" s="1">
        <v>12888.89</v>
      </c>
      <c r="E242" s="1"/>
      <c r="F242" s="1">
        <v>11803.05</v>
      </c>
      <c r="G242" s="1"/>
      <c r="H242" s="2">
        <v>3800</v>
      </c>
      <c r="I242" s="2"/>
      <c r="J242" s="2">
        <v>2077</v>
      </c>
      <c r="K242" s="2"/>
      <c r="L242" s="2">
        <v>1</v>
      </c>
      <c r="M242" s="2"/>
      <c r="N242" s="2">
        <v>1</v>
      </c>
      <c r="O242" s="2"/>
      <c r="P242" s="1">
        <v>24691.94</v>
      </c>
      <c r="Q242" s="2">
        <v>5877</v>
      </c>
      <c r="R242" s="2">
        <v>2</v>
      </c>
    </row>
    <row r="243" spans="3:18">
      <c r="C243" t="s">
        <v>81</v>
      </c>
      <c r="D243" s="1"/>
      <c r="E243" s="1"/>
      <c r="F243" s="1">
        <v>611.02</v>
      </c>
      <c r="G243" s="1">
        <v>2497.51</v>
      </c>
      <c r="H243" s="2"/>
      <c r="I243" s="2"/>
      <c r="J243" s="2">
        <v>198</v>
      </c>
      <c r="K243" s="2">
        <v>2785</v>
      </c>
      <c r="L243" s="2"/>
      <c r="M243" s="2"/>
      <c r="N243" s="2">
        <v>1</v>
      </c>
      <c r="O243" s="2">
        <v>1</v>
      </c>
      <c r="P243" s="1">
        <v>3108.53</v>
      </c>
      <c r="Q243" s="2">
        <v>2983</v>
      </c>
      <c r="R243" s="2">
        <v>2</v>
      </c>
    </row>
    <row r="244" spans="3:18">
      <c r="C244" t="s">
        <v>51</v>
      </c>
      <c r="D244" s="1">
        <v>11616.15</v>
      </c>
      <c r="E244" s="1"/>
      <c r="F244" s="1">
        <v>36721.18</v>
      </c>
      <c r="G244" s="1"/>
      <c r="H244" s="2">
        <v>1802</v>
      </c>
      <c r="I244" s="2"/>
      <c r="J244" s="2">
        <v>10560</v>
      </c>
      <c r="K244" s="2"/>
      <c r="L244" s="2">
        <v>2</v>
      </c>
      <c r="M244" s="2"/>
      <c r="N244" s="2">
        <v>4</v>
      </c>
      <c r="O244" s="2"/>
      <c r="P244" s="1">
        <v>48337.33</v>
      </c>
      <c r="Q244" s="2">
        <v>12362</v>
      </c>
      <c r="R244" s="2">
        <v>6</v>
      </c>
    </row>
    <row r="245" spans="3:18">
      <c r="C245" t="s">
        <v>46</v>
      </c>
      <c r="D245" s="1"/>
      <c r="E245" s="1">
        <v>2746.02</v>
      </c>
      <c r="F245" s="1"/>
      <c r="G245" s="1"/>
      <c r="H245" s="2"/>
      <c r="I245" s="2">
        <v>1566</v>
      </c>
      <c r="J245" s="2"/>
      <c r="K245" s="2"/>
      <c r="L245" s="2"/>
      <c r="M245" s="2">
        <v>1</v>
      </c>
      <c r="N245" s="2"/>
      <c r="O245" s="2"/>
      <c r="P245" s="1">
        <v>2746.02</v>
      </c>
      <c r="Q245" s="2">
        <v>1566</v>
      </c>
      <c r="R245" s="2">
        <v>1</v>
      </c>
    </row>
    <row r="246" spans="2:18">
      <c r="B246" t="s">
        <v>569</v>
      </c>
      <c r="D246" s="1">
        <v>56351.85</v>
      </c>
      <c r="E246" s="1">
        <v>23182.75</v>
      </c>
      <c r="F246" s="1">
        <v>175763.51</v>
      </c>
      <c r="G246" s="1">
        <v>40335.91</v>
      </c>
      <c r="H246" s="2">
        <v>14025</v>
      </c>
      <c r="I246" s="2">
        <v>5972</v>
      </c>
      <c r="J246" s="2">
        <v>36181</v>
      </c>
      <c r="K246" s="2">
        <v>13466</v>
      </c>
      <c r="L246" s="2">
        <v>7</v>
      </c>
      <c r="M246" s="2">
        <v>3</v>
      </c>
      <c r="N246" s="2">
        <v>13</v>
      </c>
      <c r="O246" s="2">
        <v>4</v>
      </c>
      <c r="P246" s="1">
        <v>295634.02</v>
      </c>
      <c r="Q246" s="2">
        <v>69644</v>
      </c>
      <c r="R246" s="2">
        <v>27</v>
      </c>
    </row>
    <row r="247" spans="1:18">
      <c r="A247" t="s">
        <v>583</v>
      </c>
      <c r="D247" s="1">
        <v>56351.85</v>
      </c>
      <c r="E247" s="1">
        <v>65991.92</v>
      </c>
      <c r="F247" s="1">
        <v>179629.56</v>
      </c>
      <c r="G247" s="1">
        <v>62610.46</v>
      </c>
      <c r="H247" s="2">
        <v>14025</v>
      </c>
      <c r="I247" s="2">
        <v>16969</v>
      </c>
      <c r="J247" s="2">
        <v>40979</v>
      </c>
      <c r="K247" s="2">
        <v>22470</v>
      </c>
      <c r="L247" s="2">
        <v>7</v>
      </c>
      <c r="M247" s="2">
        <v>6</v>
      </c>
      <c r="N247" s="2">
        <v>14</v>
      </c>
      <c r="O247" s="2">
        <v>7</v>
      </c>
      <c r="P247" s="1">
        <v>364583.79</v>
      </c>
      <c r="Q247" s="2">
        <v>94443</v>
      </c>
      <c r="R247" s="2">
        <v>34</v>
      </c>
    </row>
    <row r="248" spans="1:18">
      <c r="A248" t="s">
        <v>76</v>
      </c>
      <c r="B248" t="s">
        <v>21</v>
      </c>
      <c r="C248" t="s">
        <v>18</v>
      </c>
      <c r="D248" s="1"/>
      <c r="E248" s="1"/>
      <c r="F248" s="1">
        <v>1824.36</v>
      </c>
      <c r="G248" s="1"/>
      <c r="H248" s="2"/>
      <c r="I248" s="2"/>
      <c r="J248" s="2">
        <v>698</v>
      </c>
      <c r="K248" s="2"/>
      <c r="L248" s="2"/>
      <c r="M248" s="2"/>
      <c r="N248" s="2">
        <v>1</v>
      </c>
      <c r="O248" s="2"/>
      <c r="P248" s="1">
        <v>1824.36</v>
      </c>
      <c r="Q248" s="2">
        <v>698</v>
      </c>
      <c r="R248" s="2">
        <v>1</v>
      </c>
    </row>
    <row r="249" spans="3:18">
      <c r="C249" t="s">
        <v>77</v>
      </c>
      <c r="D249" s="1"/>
      <c r="E249" s="1"/>
      <c r="F249" s="1">
        <v>12774.03</v>
      </c>
      <c r="G249" s="1">
        <v>14267.66</v>
      </c>
      <c r="H249" s="2"/>
      <c r="I249" s="2"/>
      <c r="J249" s="2">
        <v>1893</v>
      </c>
      <c r="K249" s="2">
        <v>2245</v>
      </c>
      <c r="L249" s="2"/>
      <c r="M249" s="2"/>
      <c r="N249" s="2">
        <v>1</v>
      </c>
      <c r="O249" s="2">
        <v>1</v>
      </c>
      <c r="P249" s="1">
        <v>27041.69</v>
      </c>
      <c r="Q249" s="2">
        <v>4138</v>
      </c>
      <c r="R249" s="2">
        <v>2</v>
      </c>
    </row>
    <row r="250" spans="3:18">
      <c r="C250" t="s">
        <v>81</v>
      </c>
      <c r="D250" s="1"/>
      <c r="E250" s="1"/>
      <c r="F250" s="1">
        <v>3311.48</v>
      </c>
      <c r="G250" s="1"/>
      <c r="H250" s="2"/>
      <c r="I250" s="2"/>
      <c r="J250" s="2">
        <v>1192</v>
      </c>
      <c r="K250" s="2"/>
      <c r="L250" s="2"/>
      <c r="M250" s="2"/>
      <c r="N250" s="2">
        <v>2</v>
      </c>
      <c r="O250" s="2"/>
      <c r="P250" s="1">
        <v>3311.48</v>
      </c>
      <c r="Q250" s="2">
        <v>1192</v>
      </c>
      <c r="R250" s="2">
        <v>2</v>
      </c>
    </row>
    <row r="251" spans="3:18">
      <c r="C251" t="s">
        <v>25</v>
      </c>
      <c r="D251" s="1"/>
      <c r="E251" s="1"/>
      <c r="F251" s="1">
        <v>3956.52</v>
      </c>
      <c r="G251" s="1"/>
      <c r="H251" s="2"/>
      <c r="I251" s="2"/>
      <c r="J251" s="2">
        <v>2488</v>
      </c>
      <c r="K251" s="2"/>
      <c r="L251" s="2"/>
      <c r="M251" s="2"/>
      <c r="N251" s="2">
        <v>1</v>
      </c>
      <c r="O251" s="2"/>
      <c r="P251" s="1">
        <v>3956.52</v>
      </c>
      <c r="Q251" s="2">
        <v>2488</v>
      </c>
      <c r="R251" s="2">
        <v>1</v>
      </c>
    </row>
    <row r="252" spans="3:18">
      <c r="C252" t="s">
        <v>51</v>
      </c>
      <c r="D252" s="1"/>
      <c r="E252" s="1"/>
      <c r="F252" s="1">
        <v>6867.06</v>
      </c>
      <c r="G252" s="1"/>
      <c r="H252" s="2"/>
      <c r="I252" s="2"/>
      <c r="J252" s="2">
        <v>4237</v>
      </c>
      <c r="K252" s="2"/>
      <c r="L252" s="2"/>
      <c r="M252" s="2"/>
      <c r="N252" s="2">
        <v>1</v>
      </c>
      <c r="O252" s="2"/>
      <c r="P252" s="1">
        <v>6867.06</v>
      </c>
      <c r="Q252" s="2">
        <v>4237</v>
      </c>
      <c r="R252" s="2">
        <v>1</v>
      </c>
    </row>
    <row r="253" spans="3:18">
      <c r="C253" t="s">
        <v>46</v>
      </c>
      <c r="D253" s="1"/>
      <c r="E253" s="1"/>
      <c r="F253" s="1">
        <v>4660.18</v>
      </c>
      <c r="G253" s="1"/>
      <c r="H253" s="2"/>
      <c r="I253" s="2"/>
      <c r="J253" s="2">
        <v>2676</v>
      </c>
      <c r="K253" s="2"/>
      <c r="L253" s="2"/>
      <c r="M253" s="2"/>
      <c r="N253" s="2">
        <v>1</v>
      </c>
      <c r="O253" s="2"/>
      <c r="P253" s="1">
        <v>4660.18</v>
      </c>
      <c r="Q253" s="2">
        <v>2676</v>
      </c>
      <c r="R253" s="2">
        <v>1</v>
      </c>
    </row>
    <row r="254" spans="2:18">
      <c r="B254" t="s">
        <v>568</v>
      </c>
      <c r="D254" s="1"/>
      <c r="E254" s="1"/>
      <c r="F254" s="1">
        <v>33393.63</v>
      </c>
      <c r="G254" s="1">
        <v>14267.66</v>
      </c>
      <c r="H254" s="2"/>
      <c r="I254" s="2"/>
      <c r="J254" s="2">
        <v>13184</v>
      </c>
      <c r="K254" s="2">
        <v>2245</v>
      </c>
      <c r="L254" s="2"/>
      <c r="M254" s="2"/>
      <c r="N254" s="2">
        <v>7</v>
      </c>
      <c r="O254" s="2">
        <v>1</v>
      </c>
      <c r="P254" s="1">
        <v>47661.29</v>
      </c>
      <c r="Q254" s="2">
        <v>15429</v>
      </c>
      <c r="R254" s="2">
        <v>8</v>
      </c>
    </row>
    <row r="255" spans="2:18">
      <c r="B255" t="s">
        <v>27</v>
      </c>
      <c r="C255" t="s">
        <v>39</v>
      </c>
      <c r="D255" s="1">
        <v>13818.29</v>
      </c>
      <c r="E255" s="1">
        <v>5874.45</v>
      </c>
      <c r="F255" s="1">
        <v>14562.37</v>
      </c>
      <c r="G255" s="1"/>
      <c r="H255" s="2">
        <v>3493</v>
      </c>
      <c r="I255" s="2">
        <v>3502</v>
      </c>
      <c r="J255" s="2">
        <v>946</v>
      </c>
      <c r="K255" s="2"/>
      <c r="L255" s="2">
        <v>1</v>
      </c>
      <c r="M255" s="2">
        <v>1</v>
      </c>
      <c r="N255" s="2">
        <v>1</v>
      </c>
      <c r="O255" s="2"/>
      <c r="P255" s="1">
        <v>34255.11</v>
      </c>
      <c r="Q255" s="2">
        <v>7941</v>
      </c>
      <c r="R255" s="2">
        <v>3</v>
      </c>
    </row>
    <row r="256" spans="3:18">
      <c r="C256" t="s">
        <v>18</v>
      </c>
      <c r="D256" s="1">
        <v>4461.52</v>
      </c>
      <c r="E256" s="1">
        <v>1631.68</v>
      </c>
      <c r="F256" s="1">
        <v>26698.43</v>
      </c>
      <c r="G256" s="1"/>
      <c r="H256" s="2">
        <v>2818</v>
      </c>
      <c r="I256" s="2">
        <v>1122</v>
      </c>
      <c r="J256" s="2">
        <v>6916</v>
      </c>
      <c r="K256" s="2"/>
      <c r="L256" s="2">
        <v>1</v>
      </c>
      <c r="M256" s="2">
        <v>1</v>
      </c>
      <c r="N256" s="2">
        <v>3</v>
      </c>
      <c r="O256" s="2"/>
      <c r="P256" s="1">
        <v>32791.63</v>
      </c>
      <c r="Q256" s="2">
        <v>10856</v>
      </c>
      <c r="R256" s="2">
        <v>5</v>
      </c>
    </row>
    <row r="257" spans="3:18">
      <c r="C257" t="s">
        <v>41</v>
      </c>
      <c r="D257" s="1"/>
      <c r="E257" s="1"/>
      <c r="F257" s="1">
        <v>6175.1</v>
      </c>
      <c r="G257" s="1"/>
      <c r="H257" s="2"/>
      <c r="I257" s="2"/>
      <c r="J257" s="2">
        <v>944</v>
      </c>
      <c r="K257" s="2"/>
      <c r="L257" s="2"/>
      <c r="M257" s="2"/>
      <c r="N257" s="2">
        <v>1</v>
      </c>
      <c r="O257" s="2"/>
      <c r="P257" s="1">
        <v>6175.1</v>
      </c>
      <c r="Q257" s="2">
        <v>944</v>
      </c>
      <c r="R257" s="2">
        <v>1</v>
      </c>
    </row>
    <row r="258" spans="3:18">
      <c r="C258" t="s">
        <v>100</v>
      </c>
      <c r="D258" s="1">
        <v>3007.01</v>
      </c>
      <c r="E258" s="1"/>
      <c r="F258" s="1">
        <v>9817.32</v>
      </c>
      <c r="G258" s="1"/>
      <c r="H258" s="2">
        <v>528</v>
      </c>
      <c r="I258" s="2"/>
      <c r="J258" s="2">
        <v>6094</v>
      </c>
      <c r="K258" s="2"/>
      <c r="L258" s="2">
        <v>1</v>
      </c>
      <c r="M258" s="2"/>
      <c r="N258" s="2">
        <v>2</v>
      </c>
      <c r="O258" s="2"/>
      <c r="P258" s="1">
        <v>12824.33</v>
      </c>
      <c r="Q258" s="2">
        <v>6622</v>
      </c>
      <c r="R258" s="2">
        <v>3</v>
      </c>
    </row>
    <row r="259" spans="3:18">
      <c r="C259" t="s">
        <v>34</v>
      </c>
      <c r="D259" s="1"/>
      <c r="E259" s="1">
        <v>30306.06</v>
      </c>
      <c r="F259" s="1">
        <v>61170.55</v>
      </c>
      <c r="G259" s="1"/>
      <c r="H259" s="2"/>
      <c r="I259" s="2">
        <v>4376</v>
      </c>
      <c r="J259" s="2">
        <v>4748</v>
      </c>
      <c r="K259" s="2"/>
      <c r="L259" s="2"/>
      <c r="M259" s="2">
        <v>1</v>
      </c>
      <c r="N259" s="2">
        <v>2</v>
      </c>
      <c r="O259" s="2"/>
      <c r="P259" s="1">
        <v>91476.61</v>
      </c>
      <c r="Q259" s="2">
        <v>9124</v>
      </c>
      <c r="R259" s="2">
        <v>3</v>
      </c>
    </row>
    <row r="260" spans="3:18">
      <c r="C260" t="s">
        <v>77</v>
      </c>
      <c r="D260" s="1">
        <v>4919.86</v>
      </c>
      <c r="E260" s="1">
        <v>2299.13</v>
      </c>
      <c r="F260" s="1"/>
      <c r="G260" s="1"/>
      <c r="H260" s="2">
        <v>1540</v>
      </c>
      <c r="I260" s="2">
        <v>3980</v>
      </c>
      <c r="J260" s="2"/>
      <c r="K260" s="2"/>
      <c r="L260" s="2">
        <v>1</v>
      </c>
      <c r="M260" s="2">
        <v>1</v>
      </c>
      <c r="N260" s="2"/>
      <c r="O260" s="2"/>
      <c r="P260" s="1">
        <v>7218.99</v>
      </c>
      <c r="Q260" s="2">
        <v>5520</v>
      </c>
      <c r="R260" s="2">
        <v>2</v>
      </c>
    </row>
    <row r="261" spans="3:18">
      <c r="C261" t="s">
        <v>81</v>
      </c>
      <c r="D261" s="1"/>
      <c r="E261" s="1">
        <v>177.05</v>
      </c>
      <c r="F261" s="1"/>
      <c r="G261" s="1">
        <v>341.18</v>
      </c>
      <c r="H261" s="2"/>
      <c r="I261" s="2">
        <v>4688</v>
      </c>
      <c r="J261" s="2"/>
      <c r="K261" s="2">
        <v>2852</v>
      </c>
      <c r="L261" s="2"/>
      <c r="M261" s="2">
        <v>1</v>
      </c>
      <c r="N261" s="2"/>
      <c r="O261" s="2">
        <v>1</v>
      </c>
      <c r="P261" s="1">
        <v>518.23</v>
      </c>
      <c r="Q261" s="2">
        <v>7540</v>
      </c>
      <c r="R261" s="2">
        <v>2</v>
      </c>
    </row>
    <row r="262" spans="3:18">
      <c r="C262" t="s">
        <v>25</v>
      </c>
      <c r="D262" s="1">
        <v>3881.92</v>
      </c>
      <c r="E262" s="1"/>
      <c r="F262" s="1">
        <v>1407.85</v>
      </c>
      <c r="G262" s="1"/>
      <c r="H262" s="2">
        <v>8218</v>
      </c>
      <c r="I262" s="2"/>
      <c r="J262" s="2">
        <v>2644</v>
      </c>
      <c r="K262" s="2"/>
      <c r="L262" s="2">
        <v>2</v>
      </c>
      <c r="M262" s="2"/>
      <c r="N262" s="2">
        <v>1</v>
      </c>
      <c r="O262" s="2"/>
      <c r="P262" s="1">
        <v>5289.77</v>
      </c>
      <c r="Q262" s="2">
        <v>10862</v>
      </c>
      <c r="R262" s="2">
        <v>3</v>
      </c>
    </row>
    <row r="263" spans="3:18">
      <c r="C263" t="s">
        <v>51</v>
      </c>
      <c r="D263" s="1">
        <v>1979.8</v>
      </c>
      <c r="E263" s="1"/>
      <c r="F263" s="1"/>
      <c r="G263" s="1"/>
      <c r="H263" s="2">
        <v>4609</v>
      </c>
      <c r="I263" s="2"/>
      <c r="J263" s="2"/>
      <c r="K263" s="2"/>
      <c r="L263" s="2">
        <v>1</v>
      </c>
      <c r="M263" s="2"/>
      <c r="N263" s="2"/>
      <c r="O263" s="2"/>
      <c r="P263" s="1">
        <v>1979.8</v>
      </c>
      <c r="Q263" s="2">
        <v>4609</v>
      </c>
      <c r="R263" s="2">
        <v>1</v>
      </c>
    </row>
    <row r="264" spans="3:18">
      <c r="C264" t="s">
        <v>46</v>
      </c>
      <c r="D264" s="1"/>
      <c r="E264" s="1">
        <v>665.86</v>
      </c>
      <c r="F264" s="1">
        <v>5401.15</v>
      </c>
      <c r="G264" s="1"/>
      <c r="H264" s="2"/>
      <c r="I264" s="2">
        <v>4546</v>
      </c>
      <c r="J264" s="2">
        <v>7870</v>
      </c>
      <c r="K264" s="2"/>
      <c r="L264" s="2"/>
      <c r="M264" s="2">
        <v>1</v>
      </c>
      <c r="N264" s="2">
        <v>2</v>
      </c>
      <c r="O264" s="2"/>
      <c r="P264" s="1">
        <v>6067.01</v>
      </c>
      <c r="Q264" s="2">
        <v>12416</v>
      </c>
      <c r="R264" s="2">
        <v>3</v>
      </c>
    </row>
    <row r="265" spans="2:18">
      <c r="B265" t="s">
        <v>569</v>
      </c>
      <c r="D265" s="1">
        <v>32068.4</v>
      </c>
      <c r="E265" s="1">
        <v>40954.23</v>
      </c>
      <c r="F265" s="1">
        <v>125232.77</v>
      </c>
      <c r="G265" s="1">
        <v>341.18</v>
      </c>
      <c r="H265" s="2">
        <v>21206</v>
      </c>
      <c r="I265" s="2">
        <v>22214</v>
      </c>
      <c r="J265" s="2">
        <v>30162</v>
      </c>
      <c r="K265" s="2">
        <v>2852</v>
      </c>
      <c r="L265" s="2">
        <v>7</v>
      </c>
      <c r="M265" s="2">
        <v>6</v>
      </c>
      <c r="N265" s="2">
        <v>12</v>
      </c>
      <c r="O265" s="2">
        <v>1</v>
      </c>
      <c r="P265" s="1">
        <v>198596.58</v>
      </c>
      <c r="Q265" s="2">
        <v>76434</v>
      </c>
      <c r="R265" s="2">
        <v>26</v>
      </c>
    </row>
    <row r="266" spans="1:18">
      <c r="A266" t="s">
        <v>584</v>
      </c>
      <c r="D266" s="1">
        <v>32068.4</v>
      </c>
      <c r="E266" s="1">
        <v>40954.23</v>
      </c>
      <c r="F266" s="1">
        <v>158626.4</v>
      </c>
      <c r="G266" s="1">
        <v>14608.84</v>
      </c>
      <c r="H266" s="2">
        <v>21206</v>
      </c>
      <c r="I266" s="2">
        <v>22214</v>
      </c>
      <c r="J266" s="2">
        <v>43346</v>
      </c>
      <c r="K266" s="2">
        <v>5097</v>
      </c>
      <c r="L266" s="2">
        <v>7</v>
      </c>
      <c r="M266" s="2">
        <v>6</v>
      </c>
      <c r="N266" s="2">
        <v>19</v>
      </c>
      <c r="O266" s="2">
        <v>2</v>
      </c>
      <c r="P266" s="1">
        <v>246257.87</v>
      </c>
      <c r="Q266" s="2">
        <v>91863</v>
      </c>
      <c r="R266" s="2">
        <v>34</v>
      </c>
    </row>
    <row r="267" spans="1:18">
      <c r="A267" t="s">
        <v>585</v>
      </c>
      <c r="D267" s="1">
        <v>897607.7</v>
      </c>
      <c r="E267" s="1">
        <v>736983.1</v>
      </c>
      <c r="F267" s="1">
        <v>2121435.07</v>
      </c>
      <c r="G267" s="1">
        <v>476655.73</v>
      </c>
      <c r="H267" s="2">
        <v>254805</v>
      </c>
      <c r="I267" s="2">
        <v>199219</v>
      </c>
      <c r="J267" s="2">
        <v>610435</v>
      </c>
      <c r="K267" s="2">
        <v>151965</v>
      </c>
      <c r="L267" s="2">
        <v>98</v>
      </c>
      <c r="M267" s="2">
        <v>79</v>
      </c>
      <c r="N267" s="2">
        <v>258</v>
      </c>
      <c r="O267" s="2">
        <v>65</v>
      </c>
      <c r="P267" s="1">
        <v>4232681.6</v>
      </c>
      <c r="Q267" s="2">
        <v>1216424</v>
      </c>
      <c r="R267" s="2">
        <v>500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Shipment Data</vt:lpstr>
      <vt:lpstr>Pivot Table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Aarthi-PC</cp:lastModifiedBy>
  <dcterms:created xsi:type="dcterms:W3CDTF">2026-09-27T04:33:00Z</dcterms:created>
  <dcterms:modified xsi:type="dcterms:W3CDTF">2026-10-07T13:40:06Z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BF264C85451847D393D888724A54837D_12</vt:lpwstr>
  </property>
  <property fmtid="{D5CDD505-2E9C-101B-9397-08002B2CF9AE}" pid="3" name="KSOProductBuildVer">
    <vt:lpwstr>1033-12.2.0.23196</vt:lpwstr>
  </property>
</Properties>
</file>